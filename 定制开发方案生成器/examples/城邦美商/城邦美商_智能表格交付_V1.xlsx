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数据看板" sheetId="1" state="visible" r:id="rId1"/>
    <sheet xmlns:r="http://schemas.openxmlformats.org/officeDocument/2006/relationships" name="📦 订单总览" sheetId="2" state="visible" r:id="rId2"/>
    <sheet xmlns:r="http://schemas.openxmlformats.org/officeDocument/2006/relationships" name="🧪 打样进度" sheetId="3" state="visible" r:id="rId3"/>
    <sheet xmlns:r="http://schemas.openxmlformats.org/officeDocument/2006/relationships" name="🏭 物料追踪" sheetId="4" state="visible" r:id="rId4"/>
    <sheet xmlns:r="http://schemas.openxmlformats.org/officeDocument/2006/relationships" name="👥 客户档案" sheetId="5" state="visible" r:id="rId5"/>
    <sheet xmlns:r="http://schemas.openxmlformats.org/officeDocument/2006/relationships" name="💰 财务对账" sheetId="6" state="visible" r:id="rId6"/>
    <sheet xmlns:r="http://schemas.openxmlformats.org/officeDocument/2006/relationships" name="📈 月度报表" sheetId="7" state="visible" r:id="rId7"/>
  </sheets>
  <definedNames>
    <definedName name="_xlnm._FilterDatabase" localSheetId="1" hidden="1">'📦 订单总览'!$A$1:$K$31</definedName>
    <definedName name="_xlnm._FilterDatabase" localSheetId="2" hidden="1">'🧪 打样进度'!$A$1:$L$21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¥ #,##0.00"/>
    <numFmt numFmtId="166" formatCode="¥ #,##0"/>
    <numFmt numFmtId="167" formatCode="0.0%"/>
  </numFmts>
  <fonts count="18">
    <font>
      <name val="Calibri"/>
      <family val="2"/>
      <color theme="1"/>
      <sz val="11"/>
      <scheme val="minor"/>
    </font>
    <font>
      <name val="苹方"/>
      <b val="1"/>
      <color rgb="001A1A1A"/>
      <sz val="20"/>
    </font>
    <font>
      <name val="苹方"/>
      <color rgb="008A8A8A"/>
      <sz val="10"/>
    </font>
    <font>
      <name val="苹方"/>
      <color rgb="005A5A5A"/>
      <sz val="11"/>
    </font>
    <font>
      <name val="苹方"/>
      <b val="1"/>
      <color rgb="001E5AFF"/>
      <sz val="28"/>
    </font>
    <font>
      <name val="苹方"/>
      <color rgb="005A5A5A"/>
      <sz val="14"/>
    </font>
    <font>
      <name val="苹方"/>
      <b val="1"/>
      <color rgb="001A1A1A"/>
      <sz val="14"/>
    </font>
    <font>
      <name val="苹方"/>
      <b val="1"/>
      <color rgb="00FFFFFF"/>
      <sz val="12"/>
    </font>
    <font>
      <name val="苹方"/>
      <color rgb="001A1A1A"/>
      <sz val="11"/>
    </font>
    <font>
      <name val="苹方"/>
      <b val="1"/>
      <color rgb="00E53935"/>
      <sz val="11"/>
    </font>
    <font>
      <name val="苹方"/>
      <b val="1"/>
      <color rgb="008A8A8A"/>
      <sz val="11"/>
    </font>
    <font>
      <name val="苹方"/>
      <b val="1"/>
      <sz val="11"/>
    </font>
    <font>
      <name val="苹方"/>
      <b val="1"/>
      <color rgb="00FF6B35"/>
      <sz val="11"/>
    </font>
    <font>
      <name val="苹方"/>
      <b val="1"/>
      <color rgb="001E5AFF"/>
      <sz val="11"/>
    </font>
    <font>
      <name val="苹方"/>
      <b val="1"/>
      <color rgb="003D7BFF"/>
      <sz val="11"/>
    </font>
    <font>
      <name val="苹方"/>
      <b val="1"/>
      <color rgb="0000C853"/>
      <sz val="11"/>
    </font>
    <font>
      <name val="苹方"/>
      <b val="1"/>
      <sz val="12"/>
    </font>
    <font>
      <name val="苹方"/>
      <b val="1"/>
      <sz val="16"/>
    </font>
  </fonts>
  <fills count="6">
    <fill>
      <patternFill/>
    </fill>
    <fill>
      <patternFill patternType="gray125"/>
    </fill>
    <fill>
      <patternFill patternType="solid">
        <fgColor rgb="001E5AFF"/>
      </patternFill>
    </fill>
    <fill>
      <patternFill patternType="solid">
        <fgColor rgb="00FFE5E5"/>
      </patternFill>
    </fill>
    <fill>
      <patternFill patternType="solid">
        <fgColor rgb="00F7F8F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center" vertical="center" wrapText="1"/>
    </xf>
    <xf numFmtId="166" fontId="8" fillId="4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165" fontId="16" fillId="5" borderId="0" applyAlignment="1" pivotButton="0" quotePrefix="0" xfId="0">
      <alignment horizontal="right" vertical="center"/>
    </xf>
    <xf numFmtId="0" fontId="0" fillId="2" borderId="0" pivotButton="0" quotePrefix="0" xfId="0"/>
    <xf numFmtId="0" fontId="17" fillId="0" borderId="0" pivotButton="0" quotePrefix="0" xfId="0"/>
    <xf numFmtId="167" fontId="8" fillId="4" borderId="1" applyAlignment="1" pivotButton="0" quotePrefix="0" xfId="0">
      <alignment horizontal="center" vertical="center" wrapText="1"/>
    </xf>
    <xf numFmtId="167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苹方"/>
        <b val="1"/>
        <color rgb="00E53935"/>
        <sz val="11"/>
      </font>
      <fill>
        <patternFill patternType="solid">
          <fgColor rgb="00FFE5E5"/>
        </patternFill>
      </fill>
    </dxf>
    <dxf>
      <font>
        <name val="苹方"/>
        <b val="1"/>
        <color rgb="0000C853"/>
        <sz val="11"/>
      </font>
      <fill>
        <patternFill patternType="solid">
          <fgColor rgb="00E5F7EC"/>
        </patternFill>
      </fill>
    </dxf>
    <dxf>
      <font>
        <name val="苹方"/>
        <b val="1"/>
        <color rgb="00FF6B35"/>
        <sz val="11"/>
      </font>
      <fill>
        <patternFill patternType="solid">
          <fgColor rgb="00FFF4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  <col width="4" customWidth="1" min="9" max="9"/>
    <col width="4" customWidth="1" min="10" max="10"/>
  </cols>
  <sheetData>
    <row r="2" ht="36" customHeight="1">
      <c r="B2" s="1" t="inlineStr">
        <is>
          <t>城邦美商 · 通用行业打样订单数据看板</t>
        </is>
      </c>
    </row>
    <row r="3">
      <c r="B3" s="2" t="inlineStr">
        <is>
          <t>数据更新于 2026-06-24 20:17 · [服务商名称待填]出品</t>
        </is>
      </c>
    </row>
    <row r="5" ht="24" customHeight="1">
      <c r="B5" s="3" t="inlineStr">
        <is>
          <t>订单总数</t>
        </is>
      </c>
      <c r="D5" s="3" t="inlineStr">
        <is>
          <t>打样中</t>
        </is>
      </c>
      <c r="F5" s="3" t="inlineStr">
        <is>
          <t>生产中</t>
        </is>
      </c>
    </row>
    <row r="6" ht="36" customHeight="1">
      <c r="B6" s="4" t="inlineStr">
        <is>
          <t>128</t>
        </is>
      </c>
      <c r="D6" s="4" t="inlineStr">
        <is>
          <t>34</t>
        </is>
      </c>
      <c r="F6" s="4" t="inlineStr">
        <is>
          <t>47</t>
        </is>
      </c>
    </row>
    <row r="7" ht="24" customHeight="1">
      <c r="B7" s="2" t="inlineStr">
        <is>
          <t>本月新增 +23</t>
        </is>
      </c>
      <c r="D7" s="2" t="inlineStr">
        <is>
          <t>本周新增 +8</t>
        </is>
      </c>
      <c r="F7" s="2" t="inlineStr">
        <is>
          <t>其中 3 单超期</t>
        </is>
      </c>
    </row>
    <row r="13" ht="24" customHeight="1">
      <c r="B13" s="3" t="inlineStr">
        <is>
          <t>已发运</t>
        </is>
      </c>
      <c r="D13" s="3" t="inlineStr">
        <is>
          <t>异常订单</t>
        </is>
      </c>
      <c r="F13" s="3" t="inlineStr">
        <is>
          <t>本月营收</t>
        </is>
      </c>
    </row>
    <row r="14" ht="36" customHeight="1">
      <c r="B14" s="4" t="inlineStr">
        <is>
          <t>21</t>
        </is>
      </c>
      <c r="D14" s="4" t="inlineStr">
        <is>
          <t>5</t>
        </is>
      </c>
      <c r="F14" s="4" t="inlineStr">
        <is>
          <t>¥ 186</t>
        </is>
      </c>
    </row>
    <row r="15" ht="24" customHeight="1">
      <c r="B15" s="2" t="inlineStr">
        <is>
          <t>在途 12 单</t>
        </is>
      </c>
      <c r="D15" s="2" t="inlineStr">
        <is>
          <t>需立即处理</t>
        </is>
      </c>
      <c r="F15" s="2" t="inlineStr">
        <is>
          <t>目标 200 万</t>
        </is>
      </c>
    </row>
    <row r="18">
      <c r="B18" s="5" t="inlineStr">
        <is>
          <t>⚠️ 紧急待办</t>
        </is>
      </c>
      <c r="I18" s="6" t="inlineStr">
        <is>
          <t>状态分布</t>
        </is>
      </c>
    </row>
    <row r="19">
      <c r="B19" s="7" t="inlineStr">
        <is>
          <t>订单号</t>
        </is>
      </c>
      <c r="C19" s="7" t="inlineStr">
        <is>
          <t>客户</t>
        </is>
      </c>
      <c r="D19" s="7" t="inlineStr">
        <is>
          <t>状态</t>
        </is>
      </c>
      <c r="E19" s="7" t="inlineStr">
        <is>
          <t>约定交期</t>
        </is>
      </c>
      <c r="F19" s="7" t="inlineStr">
        <is>
          <t>超期天数</t>
        </is>
      </c>
      <c r="G19" s="7" t="inlineStr">
        <is>
          <t>跟单员</t>
        </is>
      </c>
      <c r="I19" s="8" t="inlineStr">
        <is>
          <t>待确认</t>
        </is>
      </c>
      <c r="J19" s="9" t="n">
        <v>8</v>
      </c>
    </row>
    <row r="20">
      <c r="B20" s="10" t="inlineStr">
        <is>
          <t>PO-2026-038</t>
        </is>
      </c>
      <c r="C20" s="10" t="inlineStr">
        <is>
          <t>Bloomingdale's</t>
        </is>
      </c>
      <c r="D20" s="10" t="inlineStr">
        <is>
          <t>打样中</t>
        </is>
      </c>
      <c r="E20" s="10" t="inlineStr">
        <is>
          <t>2026-05-25</t>
        </is>
      </c>
      <c r="F20" s="11" t="n">
        <v>5</v>
      </c>
      <c r="G20" s="10" t="inlineStr">
        <is>
          <t>张三</t>
        </is>
      </c>
      <c r="I20" s="12" t="inlineStr">
        <is>
          <t>打样中</t>
        </is>
      </c>
      <c r="J20" s="13" t="n">
        <v>34</v>
      </c>
    </row>
    <row r="21">
      <c r="B21" s="14" t="inlineStr">
        <is>
          <t>PO-2026-041</t>
        </is>
      </c>
      <c r="C21" s="14" t="inlineStr">
        <is>
          <t>Anthropologie</t>
        </is>
      </c>
      <c r="D21" s="14" t="inlineStr">
        <is>
          <t>生产中</t>
        </is>
      </c>
      <c r="E21" s="14" t="inlineStr">
        <is>
          <t>2026-05-26</t>
        </is>
      </c>
      <c r="F21" s="11" t="n">
        <v>4</v>
      </c>
      <c r="G21" s="14" t="inlineStr">
        <is>
          <t>李四</t>
        </is>
      </c>
      <c r="I21" s="15" t="inlineStr">
        <is>
          <t>生产中</t>
        </is>
      </c>
      <c r="J21" s="9" t="n">
        <v>47</v>
      </c>
    </row>
    <row r="22">
      <c r="B22" s="10" t="inlineStr">
        <is>
          <t>PO-2026-045</t>
        </is>
      </c>
      <c r="C22" s="10" t="inlineStr">
        <is>
          <t>Free People</t>
        </is>
      </c>
      <c r="D22" s="10" t="inlineStr">
        <is>
          <t>打样中</t>
        </is>
      </c>
      <c r="E22" s="10" t="inlineStr">
        <is>
          <t>2026-05-28</t>
        </is>
      </c>
      <c r="F22" s="10" t="n">
        <v>2</v>
      </c>
      <c r="G22" s="10" t="inlineStr">
        <is>
          <t>王五</t>
        </is>
      </c>
      <c r="I22" s="16" t="inlineStr">
        <is>
          <t>已发运</t>
        </is>
      </c>
      <c r="J22" s="13" t="n">
        <v>21</v>
      </c>
    </row>
    <row r="23">
      <c r="B23" s="14" t="inlineStr">
        <is>
          <t>PO-2026-029</t>
        </is>
      </c>
      <c r="C23" s="14" t="inlineStr">
        <is>
          <t>Urban Outfitters</t>
        </is>
      </c>
      <c r="D23" s="14" t="inlineStr">
        <is>
          <t>生产中</t>
        </is>
      </c>
      <c r="E23" s="14" t="inlineStr">
        <is>
          <t>2026-05-23</t>
        </is>
      </c>
      <c r="F23" s="11" t="n">
        <v>7</v>
      </c>
      <c r="G23" s="14" t="inlineStr">
        <is>
          <t>张三</t>
        </is>
      </c>
      <c r="I23" s="17" t="inlineStr">
        <is>
          <t>已完成</t>
        </is>
      </c>
      <c r="J23" s="9" t="n">
        <v>12</v>
      </c>
    </row>
    <row r="24">
      <c r="B24" s="10" t="inlineStr">
        <is>
          <t>PO-2026-052</t>
        </is>
      </c>
      <c r="C24" s="10" t="inlineStr">
        <is>
          <t>Nordstrom</t>
        </is>
      </c>
      <c r="D24" s="10" t="inlineStr">
        <is>
          <t>待确认</t>
        </is>
      </c>
      <c r="E24" s="10" t="inlineStr">
        <is>
          <t>2026-05-30</t>
        </is>
      </c>
      <c r="F24" s="10" t="n">
        <v>0</v>
      </c>
      <c r="G24" s="10" t="inlineStr">
        <is>
          <t>李四</t>
        </is>
      </c>
      <c r="I24" s="18" t="inlineStr">
        <is>
          <t>异常</t>
        </is>
      </c>
      <c r="J24" s="13" t="n">
        <v>5</v>
      </c>
    </row>
    <row r="25">
      <c r="B25" s="14" t="inlineStr">
        <is>
          <t>PO-2026-033</t>
        </is>
      </c>
      <c r="C25" s="14" t="inlineStr">
        <is>
          <t>Anthropologie</t>
        </is>
      </c>
      <c r="D25" s="14" t="inlineStr">
        <is>
          <t>已发运</t>
        </is>
      </c>
      <c r="E25" s="14" t="inlineStr">
        <is>
          <t>2026-05-24</t>
        </is>
      </c>
      <c r="F25" s="11" t="n">
        <v>6</v>
      </c>
      <c r="G25" s="14" t="inlineStr">
        <is>
          <t>王五</t>
        </is>
      </c>
    </row>
    <row r="26">
      <c r="B26" s="10" t="inlineStr">
        <is>
          <t>PO-2026-047</t>
        </is>
      </c>
      <c r="C26" s="10" t="inlineStr">
        <is>
          <t>Bloomingdale's</t>
        </is>
      </c>
      <c r="D26" s="10" t="inlineStr">
        <is>
          <t>打样中</t>
        </is>
      </c>
      <c r="E26" s="10" t="inlineStr">
        <is>
          <t>2026-05-29</t>
        </is>
      </c>
      <c r="F26" s="10" t="n">
        <v>1</v>
      </c>
      <c r="G26" s="10" t="inlineStr">
        <is>
          <t>李四</t>
        </is>
      </c>
    </row>
    <row r="27">
      <c r="B27" s="14" t="inlineStr">
        <is>
          <t>PO-2026-050</t>
        </is>
      </c>
      <c r="C27" s="14" t="inlineStr">
        <is>
          <t>Free People</t>
        </is>
      </c>
      <c r="D27" s="14" t="inlineStr">
        <is>
          <t>生产中</t>
        </is>
      </c>
      <c r="E27" s="14" t="inlineStr">
        <is>
          <t>2026-05-31</t>
        </is>
      </c>
      <c r="F27" s="14" t="n">
        <v>0</v>
      </c>
      <c r="G27" s="14" t="inlineStr">
        <is>
          <t>王五</t>
        </is>
      </c>
    </row>
  </sheetData>
  <mergeCells count="22">
    <mergeCell ref="B2:G2"/>
    <mergeCell ref="B7:C7"/>
    <mergeCell ref="F6:G6"/>
    <mergeCell ref="F7:G7"/>
    <mergeCell ref="D6:E6"/>
    <mergeCell ref="F15:G15"/>
    <mergeCell ref="D13:E13"/>
    <mergeCell ref="F5:G5"/>
    <mergeCell ref="B14:C14"/>
    <mergeCell ref="I18:J18"/>
    <mergeCell ref="B13:C13"/>
    <mergeCell ref="D7:E7"/>
    <mergeCell ref="F13:G13"/>
    <mergeCell ref="B3:G3"/>
    <mergeCell ref="B6:C6"/>
    <mergeCell ref="B15:C15"/>
    <mergeCell ref="D15:E15"/>
    <mergeCell ref="B5:C5"/>
    <mergeCell ref="D5:E5"/>
    <mergeCell ref="D14:E14"/>
    <mergeCell ref="F14:G14"/>
    <mergeCell ref="B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0" customWidth="1" min="10" max="10"/>
    <col width="20" customWidth="1" min="11" max="11"/>
  </cols>
  <sheetData>
    <row r="1" ht="32" customHeight="1">
      <c r="A1" s="7" t="inlineStr">
        <is>
          <t>订单号</t>
        </is>
      </c>
      <c r="B1" s="7" t="inlineStr">
        <is>
          <t>客户</t>
        </is>
      </c>
      <c r="C1" s="7" t="inlineStr">
        <is>
          <t>PO号</t>
        </is>
      </c>
      <c r="D1" s="7" t="inlineStr">
        <is>
          <t>下单日期</t>
        </is>
      </c>
      <c r="E1" s="7" t="inlineStr">
        <is>
          <t>约定交期</t>
        </is>
      </c>
      <c r="F1" s="7" t="inlineStr">
        <is>
          <t>状态</t>
        </is>
      </c>
      <c r="G1" s="7" t="inlineStr">
        <is>
          <t>总金额</t>
        </is>
      </c>
      <c r="H1" s="7" t="inlineStr">
        <is>
          <t>已收款</t>
        </is>
      </c>
      <c r="I1" s="7" t="inlineStr">
        <is>
          <t>欠款</t>
        </is>
      </c>
      <c r="J1" s="7" t="inlineStr">
        <is>
          <t>跟单员</t>
        </is>
      </c>
      <c r="K1" s="7" t="inlineStr">
        <is>
          <t>备注</t>
        </is>
      </c>
    </row>
    <row r="2">
      <c r="A2" s="10" t="inlineStr">
        <is>
          <t>PO-2026-001</t>
        </is>
      </c>
      <c r="B2" s="10" t="inlineStr">
        <is>
          <t>J.Crew</t>
        </is>
      </c>
      <c r="C2" s="10" t="inlineStr">
        <is>
          <t>CUS-24592</t>
        </is>
      </c>
      <c r="D2" s="19" t="inlineStr">
        <is>
          <t>2026-04-02</t>
        </is>
      </c>
      <c r="E2" s="19" t="inlineStr">
        <is>
          <t>2026-05-25</t>
        </is>
      </c>
      <c r="F2" s="10" t="inlineStr">
        <is>
          <t>生产中</t>
        </is>
      </c>
      <c r="G2" s="20" t="n">
        <v>158393</v>
      </c>
      <c r="H2" s="20" t="n">
        <v>47517.9</v>
      </c>
      <c r="I2" s="20">
        <f>G2-H2</f>
        <v/>
      </c>
      <c r="J2" s="10" t="inlineStr">
        <is>
          <t>张三</t>
        </is>
      </c>
      <c r="K2" s="21" t="inlineStr">
        <is>
          <t>客户要求加急</t>
        </is>
      </c>
    </row>
    <row r="3">
      <c r="A3" s="14" t="inlineStr">
        <is>
          <t>PO-2026-002</t>
        </is>
      </c>
      <c r="B3" s="14" t="inlineStr">
        <is>
          <t>J.Crew</t>
        </is>
      </c>
      <c r="C3" s="14" t="inlineStr">
        <is>
          <t>CUS-23434</t>
        </is>
      </c>
      <c r="D3" s="22" t="inlineStr">
        <is>
          <t>2026-05-14</t>
        </is>
      </c>
      <c r="E3" s="22" t="inlineStr">
        <is>
          <t>2026-07-06</t>
        </is>
      </c>
      <c r="F3" s="14" t="inlineStr">
        <is>
          <t>已完成</t>
        </is>
      </c>
      <c r="G3" s="23" t="n">
        <v>75580</v>
      </c>
      <c r="H3" s="23" t="n">
        <v>75580</v>
      </c>
      <c r="I3" s="23">
        <f>G3-H3</f>
        <v/>
      </c>
      <c r="J3" s="14" t="inlineStr">
        <is>
          <t>王五</t>
        </is>
      </c>
      <c r="K3" s="24" t="inlineStr"/>
    </row>
    <row r="4">
      <c r="A4" s="10" t="inlineStr">
        <is>
          <t>PO-2026-003</t>
        </is>
      </c>
      <c r="B4" s="10" t="inlineStr">
        <is>
          <t>Urban Outfitters</t>
        </is>
      </c>
      <c r="C4" s="10" t="inlineStr">
        <is>
          <t>CUS-14165</t>
        </is>
      </c>
      <c r="D4" s="19" t="inlineStr">
        <is>
          <t>2026-04-02</t>
        </is>
      </c>
      <c r="E4" s="19" t="inlineStr">
        <is>
          <t>2026-05-04</t>
        </is>
      </c>
      <c r="F4" s="10" t="inlineStr">
        <is>
          <t>打样中</t>
        </is>
      </c>
      <c r="G4" s="20" t="n">
        <v>151981</v>
      </c>
      <c r="H4" s="20" t="n">
        <v>0</v>
      </c>
      <c r="I4" s="20">
        <f>G4-H4</f>
        <v/>
      </c>
      <c r="J4" s="10" t="inlineStr">
        <is>
          <t>王五</t>
        </is>
      </c>
      <c r="K4" s="21" t="inlineStr"/>
    </row>
    <row r="5">
      <c r="A5" s="14" t="inlineStr">
        <is>
          <t>PO-2026-004</t>
        </is>
      </c>
      <c r="B5" s="14" t="inlineStr">
        <is>
          <t>Nordstrom</t>
        </is>
      </c>
      <c r="C5" s="14" t="inlineStr">
        <is>
          <t>CUS-13478</t>
        </is>
      </c>
      <c r="D5" s="22" t="inlineStr">
        <is>
          <t>2026-05-06</t>
        </is>
      </c>
      <c r="E5" s="22" t="inlineStr">
        <is>
          <t>2026-06-11</t>
        </is>
      </c>
      <c r="F5" s="14" t="inlineStr">
        <is>
          <t>已取消</t>
        </is>
      </c>
      <c r="G5" s="23" t="n">
        <v>249949</v>
      </c>
      <c r="H5" s="23" t="n">
        <v>0</v>
      </c>
      <c r="I5" s="23">
        <f>G5-H5</f>
        <v/>
      </c>
      <c r="J5" s="14" t="inlineStr">
        <is>
          <t>张三</t>
        </is>
      </c>
      <c r="K5" s="24" t="inlineStr">
        <is>
          <t>客户要求加急</t>
        </is>
      </c>
    </row>
    <row r="6">
      <c r="A6" s="10" t="inlineStr">
        <is>
          <t>PO-2026-005</t>
        </is>
      </c>
      <c r="B6" s="10" t="inlineStr">
        <is>
          <t>Urban Outfitters</t>
        </is>
      </c>
      <c r="C6" s="10" t="inlineStr">
        <is>
          <t>CUS-87236</t>
        </is>
      </c>
      <c r="D6" s="19" t="inlineStr">
        <is>
          <t>2026-04-18</t>
        </is>
      </c>
      <c r="E6" s="19" t="inlineStr">
        <is>
          <t>2026-06-12</t>
        </is>
      </c>
      <c r="F6" s="10" t="inlineStr">
        <is>
          <t>异常</t>
        </is>
      </c>
      <c r="G6" s="20" t="n">
        <v>33407</v>
      </c>
      <c r="H6" s="20" t="n">
        <v>0</v>
      </c>
      <c r="I6" s="20">
        <f>G6-H6</f>
        <v/>
      </c>
      <c r="J6" s="10" t="inlineStr">
        <is>
          <t>张三</t>
        </is>
      </c>
      <c r="K6" s="21" t="inlineStr"/>
    </row>
    <row r="7">
      <c r="A7" s="14" t="inlineStr">
        <is>
          <t>PO-2026-006</t>
        </is>
      </c>
      <c r="B7" s="14" t="inlineStr">
        <is>
          <t>J.Crew</t>
        </is>
      </c>
      <c r="C7" s="14" t="inlineStr">
        <is>
          <t>CUS-65392</t>
        </is>
      </c>
      <c r="D7" s="22" t="inlineStr">
        <is>
          <t>2026-04-22</t>
        </is>
      </c>
      <c r="E7" s="22" t="inlineStr">
        <is>
          <t>2026-05-30</t>
        </is>
      </c>
      <c r="F7" s="14" t="inlineStr">
        <is>
          <t>打样中</t>
        </is>
      </c>
      <c r="G7" s="23" t="n">
        <v>142886</v>
      </c>
      <c r="H7" s="23" t="n">
        <v>0</v>
      </c>
      <c r="I7" s="23">
        <f>G7-H7</f>
        <v/>
      </c>
      <c r="J7" s="14" t="inlineStr">
        <is>
          <t>李四</t>
        </is>
      </c>
      <c r="K7" s="24" t="inlineStr"/>
    </row>
    <row r="8">
      <c r="A8" s="10" t="inlineStr">
        <is>
          <t>PO-2026-007</t>
        </is>
      </c>
      <c r="B8" s="10" t="inlineStr">
        <is>
          <t>Bloomingdale's</t>
        </is>
      </c>
      <c r="C8" s="10" t="inlineStr">
        <is>
          <t>CUS-22156</t>
        </is>
      </c>
      <c r="D8" s="19" t="inlineStr">
        <is>
          <t>2026-04-25</t>
        </is>
      </c>
      <c r="E8" s="19" t="inlineStr">
        <is>
          <t>2026-05-28</t>
        </is>
      </c>
      <c r="F8" s="10" t="inlineStr">
        <is>
          <t>生产中</t>
        </is>
      </c>
      <c r="G8" s="20" t="n">
        <v>210331</v>
      </c>
      <c r="H8" s="20" t="n">
        <v>210331</v>
      </c>
      <c r="I8" s="20">
        <f>G8-H8</f>
        <v/>
      </c>
      <c r="J8" s="10" t="inlineStr">
        <is>
          <t>李四</t>
        </is>
      </c>
      <c r="K8" s="21" t="inlineStr">
        <is>
          <t>客户要求加急</t>
        </is>
      </c>
    </row>
    <row r="9">
      <c r="A9" s="14" t="inlineStr">
        <is>
          <t>PO-2026-008</t>
        </is>
      </c>
      <c r="B9" s="14" t="inlineStr">
        <is>
          <t>Madewell</t>
        </is>
      </c>
      <c r="C9" s="14" t="inlineStr">
        <is>
          <t>CUS-15695</t>
        </is>
      </c>
      <c r="D9" s="22" t="inlineStr">
        <is>
          <t>2026-05-17</t>
        </is>
      </c>
      <c r="E9" s="22" t="inlineStr">
        <is>
          <t>2026-06-30</t>
        </is>
      </c>
      <c r="F9" s="14" t="inlineStr">
        <is>
          <t>已完成</t>
        </is>
      </c>
      <c r="G9" s="23" t="n">
        <v>95444</v>
      </c>
      <c r="H9" s="23" t="n">
        <v>95444</v>
      </c>
      <c r="I9" s="23">
        <f>G9-H9</f>
        <v/>
      </c>
      <c r="J9" s="14" t="inlineStr">
        <is>
          <t>李四</t>
        </is>
      </c>
      <c r="K9" s="24" t="inlineStr"/>
    </row>
    <row r="10">
      <c r="A10" s="10" t="inlineStr">
        <is>
          <t>PO-2026-009</t>
        </is>
      </c>
      <c r="B10" s="10" t="inlineStr">
        <is>
          <t>Bloomingdale's</t>
        </is>
      </c>
      <c r="C10" s="10" t="inlineStr">
        <is>
          <t>CUS-82357</t>
        </is>
      </c>
      <c r="D10" s="19" t="inlineStr">
        <is>
          <t>2026-04-19</t>
        </is>
      </c>
      <c r="E10" s="19" t="inlineStr">
        <is>
          <t>2026-06-14</t>
        </is>
      </c>
      <c r="F10" s="10" t="inlineStr">
        <is>
          <t>已取消</t>
        </is>
      </c>
      <c r="G10" s="20" t="n">
        <v>219600</v>
      </c>
      <c r="H10" s="20" t="n">
        <v>0</v>
      </c>
      <c r="I10" s="20">
        <f>G10-H10</f>
        <v/>
      </c>
      <c r="J10" s="10" t="inlineStr">
        <is>
          <t>王五</t>
        </is>
      </c>
      <c r="K10" s="21" t="inlineStr"/>
    </row>
    <row r="11">
      <c r="A11" s="14" t="inlineStr">
        <is>
          <t>PO-2026-010</t>
        </is>
      </c>
      <c r="B11" s="14" t="inlineStr">
        <is>
          <t>Anthropologie</t>
        </is>
      </c>
      <c r="C11" s="14" t="inlineStr">
        <is>
          <t>CUS-19116</t>
        </is>
      </c>
      <c r="D11" s="22" t="inlineStr">
        <is>
          <t>2026-04-03</t>
        </is>
      </c>
      <c r="E11" s="22" t="inlineStr">
        <is>
          <t>2026-05-24</t>
        </is>
      </c>
      <c r="F11" s="14" t="inlineStr">
        <is>
          <t>打样中</t>
        </is>
      </c>
      <c r="G11" s="23" t="n">
        <v>181722</v>
      </c>
      <c r="H11" s="23" t="n">
        <v>0</v>
      </c>
      <c r="I11" s="23">
        <f>G11-H11</f>
        <v/>
      </c>
      <c r="J11" s="14" t="inlineStr">
        <is>
          <t>张三</t>
        </is>
      </c>
      <c r="K11" s="24" t="inlineStr">
        <is>
          <t>客户要求加急</t>
        </is>
      </c>
    </row>
    <row r="12">
      <c r="A12" s="10" t="inlineStr">
        <is>
          <t>PO-2026-011</t>
        </is>
      </c>
      <c r="B12" s="10" t="inlineStr">
        <is>
          <t>Madewell</t>
        </is>
      </c>
      <c r="C12" s="10" t="inlineStr">
        <is>
          <t>CUS-40512</t>
        </is>
      </c>
      <c r="D12" s="19" t="inlineStr">
        <is>
          <t>2026-04-07</t>
        </is>
      </c>
      <c r="E12" s="19" t="inlineStr">
        <is>
          <t>2026-05-19</t>
        </is>
      </c>
      <c r="F12" s="10" t="inlineStr">
        <is>
          <t>生产中</t>
        </is>
      </c>
      <c r="G12" s="20" t="n">
        <v>267717</v>
      </c>
      <c r="H12" s="20" t="n">
        <v>133858.5</v>
      </c>
      <c r="I12" s="20">
        <f>G12-H12</f>
        <v/>
      </c>
      <c r="J12" s="10" t="inlineStr">
        <is>
          <t>张三</t>
        </is>
      </c>
      <c r="K12" s="21" t="inlineStr"/>
    </row>
    <row r="13">
      <c r="A13" s="14" t="inlineStr">
        <is>
          <t>PO-2026-012</t>
        </is>
      </c>
      <c r="B13" s="14" t="inlineStr">
        <is>
          <t>Free People</t>
        </is>
      </c>
      <c r="C13" s="14" t="inlineStr">
        <is>
          <t>CUS-56566</t>
        </is>
      </c>
      <c r="D13" s="22" t="inlineStr">
        <is>
          <t>2026-04-14</t>
        </is>
      </c>
      <c r="E13" s="22" t="inlineStr">
        <is>
          <t>2026-06-04</t>
        </is>
      </c>
      <c r="F13" s="14" t="inlineStr">
        <is>
          <t>生产中</t>
        </is>
      </c>
      <c r="G13" s="23" t="n">
        <v>67435</v>
      </c>
      <c r="H13" s="23" t="n">
        <v>67435</v>
      </c>
      <c r="I13" s="23">
        <f>G13-H13</f>
        <v/>
      </c>
      <c r="J13" s="14" t="inlineStr">
        <is>
          <t>王五</t>
        </is>
      </c>
      <c r="K13" s="24" t="inlineStr"/>
    </row>
    <row r="14">
      <c r="A14" s="10" t="inlineStr">
        <is>
          <t>PO-2026-013</t>
        </is>
      </c>
      <c r="B14" s="10" t="inlineStr">
        <is>
          <t>Anthropologie</t>
        </is>
      </c>
      <c r="C14" s="10" t="inlineStr">
        <is>
          <t>CUS-80010</t>
        </is>
      </c>
      <c r="D14" s="19" t="inlineStr">
        <is>
          <t>2026-05-17</t>
        </is>
      </c>
      <c r="E14" s="19" t="inlineStr">
        <is>
          <t>2026-06-23</t>
        </is>
      </c>
      <c r="F14" s="10" t="inlineStr">
        <is>
          <t>打样中</t>
        </is>
      </c>
      <c r="G14" s="20" t="n">
        <v>272357</v>
      </c>
      <c r="H14" s="20" t="n">
        <v>0</v>
      </c>
      <c r="I14" s="20">
        <f>G14-H14</f>
        <v/>
      </c>
      <c r="J14" s="10" t="inlineStr">
        <is>
          <t>李四</t>
        </is>
      </c>
      <c r="K14" s="21" t="inlineStr">
        <is>
          <t>客户要求加急</t>
        </is>
      </c>
    </row>
    <row r="15">
      <c r="A15" s="14" t="inlineStr">
        <is>
          <t>PO-2026-014</t>
        </is>
      </c>
      <c r="B15" s="14" t="inlineStr">
        <is>
          <t>Free People</t>
        </is>
      </c>
      <c r="C15" s="14" t="inlineStr">
        <is>
          <t>CUS-93886</t>
        </is>
      </c>
      <c r="D15" s="22" t="inlineStr">
        <is>
          <t>2026-05-15</t>
        </is>
      </c>
      <c r="E15" s="22" t="inlineStr">
        <is>
          <t>2026-07-01</t>
        </is>
      </c>
      <c r="F15" s="14" t="inlineStr">
        <is>
          <t>打样中</t>
        </is>
      </c>
      <c r="G15" s="23" t="n">
        <v>200017</v>
      </c>
      <c r="H15" s="23" t="n">
        <v>0</v>
      </c>
      <c r="I15" s="23">
        <f>G15-H15</f>
        <v/>
      </c>
      <c r="J15" s="14" t="inlineStr">
        <is>
          <t>张三</t>
        </is>
      </c>
      <c r="K15" s="24" t="inlineStr"/>
    </row>
    <row r="16">
      <c r="A16" s="10" t="inlineStr">
        <is>
          <t>PO-2026-015</t>
        </is>
      </c>
      <c r="B16" s="10" t="inlineStr">
        <is>
          <t>Anthropologie</t>
        </is>
      </c>
      <c r="C16" s="10" t="inlineStr">
        <is>
          <t>CUS-14207</t>
        </is>
      </c>
      <c r="D16" s="19" t="inlineStr">
        <is>
          <t>2026-04-21</t>
        </is>
      </c>
      <c r="E16" s="19" t="inlineStr">
        <is>
          <t>2026-06-02</t>
        </is>
      </c>
      <c r="F16" s="10" t="inlineStr">
        <is>
          <t>生产中</t>
        </is>
      </c>
      <c r="G16" s="20" t="n">
        <v>64701</v>
      </c>
      <c r="H16" s="20" t="n">
        <v>19410.3</v>
      </c>
      <c r="I16" s="20">
        <f>G16-H16</f>
        <v/>
      </c>
      <c r="J16" s="10" t="inlineStr">
        <is>
          <t>王五</t>
        </is>
      </c>
      <c r="K16" s="21" t="inlineStr"/>
    </row>
    <row r="17">
      <c r="A17" s="14" t="inlineStr">
        <is>
          <t>PO-2026-016</t>
        </is>
      </c>
      <c r="B17" s="14" t="inlineStr">
        <is>
          <t>J.Crew</t>
        </is>
      </c>
      <c r="C17" s="14" t="inlineStr">
        <is>
          <t>CUS-51245</t>
        </is>
      </c>
      <c r="D17" s="22" t="inlineStr">
        <is>
          <t>2026-04-14</t>
        </is>
      </c>
      <c r="E17" s="22" t="inlineStr">
        <is>
          <t>2026-06-03</t>
        </is>
      </c>
      <c r="F17" s="14" t="inlineStr">
        <is>
          <t>已发运</t>
        </is>
      </c>
      <c r="G17" s="23" t="n">
        <v>237425</v>
      </c>
      <c r="H17" s="23" t="n">
        <v>166197.5</v>
      </c>
      <c r="I17" s="23">
        <f>G17-H17</f>
        <v/>
      </c>
      <c r="J17" s="14" t="inlineStr">
        <is>
          <t>张三</t>
        </is>
      </c>
      <c r="K17" s="24" t="inlineStr">
        <is>
          <t>客户要求加急</t>
        </is>
      </c>
    </row>
    <row r="18">
      <c r="A18" s="10" t="inlineStr">
        <is>
          <t>PO-2026-017</t>
        </is>
      </c>
      <c r="B18" s="10" t="inlineStr">
        <is>
          <t>Free People</t>
        </is>
      </c>
      <c r="C18" s="10" t="inlineStr">
        <is>
          <t>CUS-28301</t>
        </is>
      </c>
      <c r="D18" s="19" t="inlineStr">
        <is>
          <t>2026-04-16</t>
        </is>
      </c>
      <c r="E18" s="19" t="inlineStr">
        <is>
          <t>2026-06-08</t>
        </is>
      </c>
      <c r="F18" s="10" t="inlineStr">
        <is>
          <t>已完成</t>
        </is>
      </c>
      <c r="G18" s="20" t="n">
        <v>167752</v>
      </c>
      <c r="H18" s="20" t="n">
        <v>167752</v>
      </c>
      <c r="I18" s="20">
        <f>G18-H18</f>
        <v/>
      </c>
      <c r="J18" s="10" t="inlineStr">
        <is>
          <t>王五</t>
        </is>
      </c>
      <c r="K18" s="21" t="inlineStr"/>
    </row>
    <row r="19">
      <c r="A19" s="14" t="inlineStr">
        <is>
          <t>PO-2026-018</t>
        </is>
      </c>
      <c r="B19" s="14" t="inlineStr">
        <is>
          <t>Nordstrom</t>
        </is>
      </c>
      <c r="C19" s="14" t="inlineStr">
        <is>
          <t>CUS-66155</t>
        </is>
      </c>
      <c r="D19" s="22" t="inlineStr">
        <is>
          <t>2026-05-08</t>
        </is>
      </c>
      <c r="E19" s="22" t="inlineStr">
        <is>
          <t>2026-06-19</t>
        </is>
      </c>
      <c r="F19" s="14" t="inlineStr">
        <is>
          <t>生产中</t>
        </is>
      </c>
      <c r="G19" s="23" t="n">
        <v>144987</v>
      </c>
      <c r="H19" s="23" t="n">
        <v>43496.1</v>
      </c>
      <c r="I19" s="23">
        <f>G19-H19</f>
        <v/>
      </c>
      <c r="J19" s="14" t="inlineStr">
        <is>
          <t>王五</t>
        </is>
      </c>
      <c r="K19" s="24" t="inlineStr"/>
    </row>
    <row r="20">
      <c r="A20" s="10" t="inlineStr">
        <is>
          <t>PO-2026-019</t>
        </is>
      </c>
      <c r="B20" s="10" t="inlineStr">
        <is>
          <t>Urban Outfitters</t>
        </is>
      </c>
      <c r="C20" s="10" t="inlineStr">
        <is>
          <t>CUS-21915</t>
        </is>
      </c>
      <c r="D20" s="19" t="inlineStr">
        <is>
          <t>2026-05-19</t>
        </is>
      </c>
      <c r="E20" s="19" t="inlineStr">
        <is>
          <t>2026-06-19</t>
        </is>
      </c>
      <c r="F20" s="10" t="inlineStr">
        <is>
          <t>异常</t>
        </is>
      </c>
      <c r="G20" s="20" t="n">
        <v>87487</v>
      </c>
      <c r="H20" s="20" t="n">
        <v>0</v>
      </c>
      <c r="I20" s="20">
        <f>G20-H20</f>
        <v/>
      </c>
      <c r="J20" s="10" t="inlineStr">
        <is>
          <t>张三</t>
        </is>
      </c>
      <c r="K20" s="21" t="inlineStr">
        <is>
          <t>客户要求加急</t>
        </is>
      </c>
    </row>
    <row r="21">
      <c r="A21" s="14" t="inlineStr">
        <is>
          <t>PO-2026-020</t>
        </is>
      </c>
      <c r="B21" s="14" t="inlineStr">
        <is>
          <t>J.Crew</t>
        </is>
      </c>
      <c r="C21" s="14" t="inlineStr">
        <is>
          <t>CUS-30969</t>
        </is>
      </c>
      <c r="D21" s="22" t="inlineStr">
        <is>
          <t>2026-05-21</t>
        </is>
      </c>
      <c r="E21" s="22" t="inlineStr">
        <is>
          <t>2026-07-11</t>
        </is>
      </c>
      <c r="F21" s="14" t="inlineStr">
        <is>
          <t>已发运</t>
        </is>
      </c>
      <c r="G21" s="23" t="n">
        <v>63306</v>
      </c>
      <c r="H21" s="23" t="n">
        <v>44314.2</v>
      </c>
      <c r="I21" s="23">
        <f>G21-H21</f>
        <v/>
      </c>
      <c r="J21" s="14" t="inlineStr">
        <is>
          <t>李四</t>
        </is>
      </c>
      <c r="K21" s="24" t="inlineStr"/>
    </row>
    <row r="22">
      <c r="A22" s="10" t="inlineStr">
        <is>
          <t>PO-2026-021</t>
        </is>
      </c>
      <c r="B22" s="10" t="inlineStr">
        <is>
          <t>Nordstrom</t>
        </is>
      </c>
      <c r="C22" s="10" t="inlineStr">
        <is>
          <t>CUS-71348</t>
        </is>
      </c>
      <c r="D22" s="19" t="inlineStr">
        <is>
          <t>2026-05-04</t>
        </is>
      </c>
      <c r="E22" s="19" t="inlineStr">
        <is>
          <t>2026-06-11</t>
        </is>
      </c>
      <c r="F22" s="10" t="inlineStr">
        <is>
          <t>已完成</t>
        </is>
      </c>
      <c r="G22" s="20" t="n">
        <v>36019</v>
      </c>
      <c r="H22" s="20" t="n">
        <v>36019</v>
      </c>
      <c r="I22" s="20">
        <f>G22-H22</f>
        <v/>
      </c>
      <c r="J22" s="10" t="inlineStr">
        <is>
          <t>王五</t>
        </is>
      </c>
      <c r="K22" s="21" t="inlineStr"/>
    </row>
    <row r="23">
      <c r="A23" s="14" t="inlineStr">
        <is>
          <t>PO-2026-022</t>
        </is>
      </c>
      <c r="B23" s="14" t="inlineStr">
        <is>
          <t>J.Crew</t>
        </is>
      </c>
      <c r="C23" s="14" t="inlineStr">
        <is>
          <t>CUS-25014</t>
        </is>
      </c>
      <c r="D23" s="22" t="inlineStr">
        <is>
          <t>2026-05-14</t>
        </is>
      </c>
      <c r="E23" s="22" t="inlineStr">
        <is>
          <t>2026-07-11</t>
        </is>
      </c>
      <c r="F23" s="14" t="inlineStr">
        <is>
          <t>已完成</t>
        </is>
      </c>
      <c r="G23" s="23" t="n">
        <v>169893</v>
      </c>
      <c r="H23" s="23" t="n">
        <v>169893</v>
      </c>
      <c r="I23" s="23">
        <f>G23-H23</f>
        <v/>
      </c>
      <c r="J23" s="14" t="inlineStr">
        <is>
          <t>王五</t>
        </is>
      </c>
      <c r="K23" s="24" t="inlineStr">
        <is>
          <t>客户要求加急</t>
        </is>
      </c>
    </row>
    <row r="24">
      <c r="A24" s="10" t="inlineStr">
        <is>
          <t>PO-2026-023</t>
        </is>
      </c>
      <c r="B24" s="10" t="inlineStr">
        <is>
          <t>Free People</t>
        </is>
      </c>
      <c r="C24" s="10" t="inlineStr">
        <is>
          <t>CUS-24621</t>
        </is>
      </c>
      <c r="D24" s="19" t="inlineStr">
        <is>
          <t>2026-04-19</t>
        </is>
      </c>
      <c r="E24" s="19" t="inlineStr">
        <is>
          <t>2026-06-01</t>
        </is>
      </c>
      <c r="F24" s="10" t="inlineStr">
        <is>
          <t>打样中</t>
        </is>
      </c>
      <c r="G24" s="20" t="n">
        <v>267881</v>
      </c>
      <c r="H24" s="20" t="n">
        <v>0</v>
      </c>
      <c r="I24" s="20">
        <f>G24-H24</f>
        <v/>
      </c>
      <c r="J24" s="10" t="inlineStr">
        <is>
          <t>张三</t>
        </is>
      </c>
      <c r="K24" s="21" t="inlineStr"/>
    </row>
    <row r="25">
      <c r="A25" s="14" t="inlineStr">
        <is>
          <t>PO-2026-024</t>
        </is>
      </c>
      <c r="B25" s="14" t="inlineStr">
        <is>
          <t>J.Crew</t>
        </is>
      </c>
      <c r="C25" s="14" t="inlineStr">
        <is>
          <t>CUS-44522</t>
        </is>
      </c>
      <c r="D25" s="22" t="inlineStr">
        <is>
          <t>2026-05-03</t>
        </is>
      </c>
      <c r="E25" s="22" t="inlineStr">
        <is>
          <t>2026-06-26</t>
        </is>
      </c>
      <c r="F25" s="14" t="inlineStr">
        <is>
          <t>打样中</t>
        </is>
      </c>
      <c r="G25" s="23" t="n">
        <v>296171</v>
      </c>
      <c r="H25" s="23" t="n">
        <v>0</v>
      </c>
      <c r="I25" s="23">
        <f>G25-H25</f>
        <v/>
      </c>
      <c r="J25" s="14" t="inlineStr">
        <is>
          <t>张三</t>
        </is>
      </c>
      <c r="K25" s="24" t="inlineStr"/>
    </row>
    <row r="26">
      <c r="A26" s="10" t="inlineStr">
        <is>
          <t>PO-2026-025</t>
        </is>
      </c>
      <c r="B26" s="10" t="inlineStr">
        <is>
          <t>Madewell</t>
        </is>
      </c>
      <c r="C26" s="10" t="inlineStr">
        <is>
          <t>CUS-91959</t>
        </is>
      </c>
      <c r="D26" s="19" t="inlineStr">
        <is>
          <t>2026-04-20</t>
        </is>
      </c>
      <c r="E26" s="19" t="inlineStr">
        <is>
          <t>2026-06-15</t>
        </is>
      </c>
      <c r="F26" s="10" t="inlineStr">
        <is>
          <t>已取消</t>
        </is>
      </c>
      <c r="G26" s="20" t="n">
        <v>296161</v>
      </c>
      <c r="H26" s="20" t="n">
        <v>0</v>
      </c>
      <c r="I26" s="20">
        <f>G26-H26</f>
        <v/>
      </c>
      <c r="J26" s="10" t="inlineStr">
        <is>
          <t>王五</t>
        </is>
      </c>
      <c r="K26" s="21" t="inlineStr">
        <is>
          <t>客户要求加急</t>
        </is>
      </c>
    </row>
    <row r="27">
      <c r="A27" s="14" t="inlineStr">
        <is>
          <t>PO-2026-026</t>
        </is>
      </c>
      <c r="B27" s="14" t="inlineStr">
        <is>
          <t>Anthropologie</t>
        </is>
      </c>
      <c r="C27" s="14" t="inlineStr">
        <is>
          <t>CUS-30032</t>
        </is>
      </c>
      <c r="D27" s="22" t="inlineStr">
        <is>
          <t>2026-04-24</t>
        </is>
      </c>
      <c r="E27" s="22" t="inlineStr">
        <is>
          <t>2026-06-17</t>
        </is>
      </c>
      <c r="F27" s="14" t="inlineStr">
        <is>
          <t>打样中</t>
        </is>
      </c>
      <c r="G27" s="23" t="n">
        <v>30299</v>
      </c>
      <c r="H27" s="23" t="n">
        <v>0</v>
      </c>
      <c r="I27" s="23">
        <f>G27-H27</f>
        <v/>
      </c>
      <c r="J27" s="14" t="inlineStr">
        <is>
          <t>王五</t>
        </is>
      </c>
      <c r="K27" s="24" t="inlineStr"/>
    </row>
    <row r="28">
      <c r="A28" s="10" t="inlineStr">
        <is>
          <t>PO-2026-027</t>
        </is>
      </c>
      <c r="B28" s="10" t="inlineStr">
        <is>
          <t>Free People</t>
        </is>
      </c>
      <c r="C28" s="10" t="inlineStr">
        <is>
          <t>CUS-74042</t>
        </is>
      </c>
      <c r="D28" s="19" t="inlineStr">
        <is>
          <t>2026-04-02</t>
        </is>
      </c>
      <c r="E28" s="19" t="inlineStr">
        <is>
          <t>2026-05-05</t>
        </is>
      </c>
      <c r="F28" s="10" t="inlineStr">
        <is>
          <t>生产中</t>
        </is>
      </c>
      <c r="G28" s="20" t="n">
        <v>191225</v>
      </c>
      <c r="H28" s="20" t="n">
        <v>57367.5</v>
      </c>
      <c r="I28" s="20">
        <f>G28-H28</f>
        <v/>
      </c>
      <c r="J28" s="10" t="inlineStr">
        <is>
          <t>张三</t>
        </is>
      </c>
      <c r="K28" s="21" t="inlineStr"/>
    </row>
    <row r="29">
      <c r="A29" s="14" t="inlineStr">
        <is>
          <t>PO-2026-028</t>
        </is>
      </c>
      <c r="B29" s="14" t="inlineStr">
        <is>
          <t>Anthropologie</t>
        </is>
      </c>
      <c r="C29" s="14" t="inlineStr">
        <is>
          <t>CUS-84364</t>
        </is>
      </c>
      <c r="D29" s="22" t="inlineStr">
        <is>
          <t>2026-04-06</t>
        </is>
      </c>
      <c r="E29" s="22" t="inlineStr">
        <is>
          <t>2026-05-08</t>
        </is>
      </c>
      <c r="F29" s="14" t="inlineStr">
        <is>
          <t>已取消</t>
        </is>
      </c>
      <c r="G29" s="23" t="n">
        <v>284798</v>
      </c>
      <c r="H29" s="23" t="n">
        <v>0</v>
      </c>
      <c r="I29" s="23">
        <f>G29-H29</f>
        <v/>
      </c>
      <c r="J29" s="14" t="inlineStr">
        <is>
          <t>张三</t>
        </is>
      </c>
      <c r="K29" s="24" t="inlineStr">
        <is>
          <t>客户要求加急</t>
        </is>
      </c>
    </row>
    <row r="30">
      <c r="A30" s="10" t="inlineStr">
        <is>
          <t>PO-2026-029</t>
        </is>
      </c>
      <c r="B30" s="10" t="inlineStr">
        <is>
          <t>Madewell</t>
        </is>
      </c>
      <c r="C30" s="10" t="inlineStr">
        <is>
          <t>CUS-79822</t>
        </is>
      </c>
      <c r="D30" s="19" t="inlineStr">
        <is>
          <t>2026-05-20</t>
        </is>
      </c>
      <c r="E30" s="19" t="inlineStr">
        <is>
          <t>2026-06-23</t>
        </is>
      </c>
      <c r="F30" s="10" t="inlineStr">
        <is>
          <t>打样中</t>
        </is>
      </c>
      <c r="G30" s="20" t="n">
        <v>279184</v>
      </c>
      <c r="H30" s="20" t="n">
        <v>0</v>
      </c>
      <c r="I30" s="20">
        <f>G30-H30</f>
        <v/>
      </c>
      <c r="J30" s="10" t="inlineStr">
        <is>
          <t>王五</t>
        </is>
      </c>
      <c r="K30" s="21" t="inlineStr"/>
    </row>
    <row r="31">
      <c r="A31" s="14" t="inlineStr">
        <is>
          <t>PO-2026-030</t>
        </is>
      </c>
      <c r="B31" s="14" t="inlineStr">
        <is>
          <t>Anthropologie</t>
        </is>
      </c>
      <c r="C31" s="14" t="inlineStr">
        <is>
          <t>CUS-44741</t>
        </is>
      </c>
      <c r="D31" s="22" t="inlineStr">
        <is>
          <t>2026-05-04</t>
        </is>
      </c>
      <c r="E31" s="22" t="inlineStr">
        <is>
          <t>2026-06-30</t>
        </is>
      </c>
      <c r="F31" s="14" t="inlineStr">
        <is>
          <t>已完成</t>
        </is>
      </c>
      <c r="G31" s="23" t="n">
        <v>251846</v>
      </c>
      <c r="H31" s="23" t="n">
        <v>251846</v>
      </c>
      <c r="I31" s="23">
        <f>G31-H31</f>
        <v/>
      </c>
      <c r="J31" s="14" t="inlineStr">
        <is>
          <t>张三</t>
        </is>
      </c>
      <c r="K31" s="24" t="inlineStr"/>
    </row>
  </sheetData>
  <autoFilter ref="A1:K31"/>
  <conditionalFormatting sqref="E2:E31">
    <cfRule type="expression" priority="1" dxfId="0">
      <formula>$E2&lt;DATE(2026,6,1)</formula>
    </cfRule>
  </conditionalFormatting>
  <conditionalFormatting sqref="F2:F31">
    <cfRule type="cellIs" priority="2" operator="equal" dxfId="1">
      <formula>"已完成"</formula>
    </cfRule>
    <cfRule type="cellIs" priority="3" operator="equal" dxfId="0">
      <formula>"异常"</formula>
    </cfRule>
    <cfRule type="cellIs" priority="4" operator="equal" dxfId="2">
      <formula>"打样中"</formula>
    </cfRule>
  </conditionalFormatting>
  <dataValidations count="1">
    <dataValidation sqref="F2:F31" showDropDown="0" showInputMessage="0" showErrorMessage="0" allowBlank="1" type="list">
      <formula1>"待确认,打样中,生产中,已发运,已完成,已取消,异常"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0" customWidth="1" min="5" max="5"/>
    <col width="10" customWidth="1" min="6" max="6"/>
    <col width="8" customWidth="1" min="7" max="7"/>
    <col width="12" customWidth="1" min="8" max="8"/>
    <col width="14" customWidth="1" min="9" max="9"/>
    <col width="12" customWidth="1" min="10" max="10"/>
    <col width="14" customWidth="1" min="11" max="11"/>
    <col width="18" customWidth="1" min="12" max="12"/>
  </cols>
  <sheetData>
    <row r="1" ht="32" customHeight="1">
      <c r="A1" s="7" t="inlineStr">
        <is>
          <t>打样单号</t>
        </is>
      </c>
      <c r="B1" s="7" t="inlineStr">
        <is>
          <t>关联订单</t>
        </is>
      </c>
      <c r="C1" s="7" t="inlineStr">
        <is>
          <t>客户</t>
        </is>
      </c>
      <c r="D1" s="7" t="inlineStr">
        <is>
          <t>款式</t>
        </is>
      </c>
      <c r="E1" s="7" t="inlineStr">
        <is>
          <t>颜色</t>
        </is>
      </c>
      <c r="F1" s="7" t="inlineStr">
        <is>
          <t>尺码</t>
        </is>
      </c>
      <c r="G1" s="7" t="inlineStr">
        <is>
          <t>数量</t>
        </is>
      </c>
      <c r="H1" s="7" t="inlineStr">
        <is>
          <t>打样状态</t>
        </is>
      </c>
      <c r="I1" s="7" t="inlineStr">
        <is>
          <t>工厂</t>
        </is>
      </c>
      <c r="J1" s="7" t="inlineStr">
        <is>
          <t>寄出日期</t>
        </is>
      </c>
      <c r="K1" s="7" t="inlineStr">
        <is>
          <t>客户确认日期</t>
        </is>
      </c>
      <c r="L1" s="7" t="inlineStr">
        <is>
          <t>备注</t>
        </is>
      </c>
    </row>
    <row r="2">
      <c r="A2" s="10" t="inlineStr">
        <is>
          <t>SM-2026-001</t>
        </is>
      </c>
      <c r="B2" s="10" t="inlineStr">
        <is>
          <t>PO-2026-030</t>
        </is>
      </c>
      <c r="C2" s="10" t="inlineStr">
        <is>
          <t>Nordstrom</t>
        </is>
      </c>
      <c r="D2" s="10" t="inlineStr">
        <is>
          <t>MEN'S T-SHIRT</t>
        </is>
      </c>
      <c r="E2" s="10" t="inlineStr">
        <is>
          <t>蓝</t>
        </is>
      </c>
      <c r="F2" s="10" t="inlineStr">
        <is>
          <t>L/M</t>
        </is>
      </c>
      <c r="G2" s="10" t="n">
        <v>152</v>
      </c>
      <c r="H2" s="10" t="inlineStr">
        <is>
          <t>客户确认</t>
        </is>
      </c>
      <c r="I2" s="10" t="inlineStr">
        <is>
          <t>上海一厂</t>
        </is>
      </c>
      <c r="J2" s="19" t="inlineStr">
        <is>
          <t>2026-04-16</t>
        </is>
      </c>
      <c r="K2" s="19" t="inlineStr">
        <is>
          <t>2026-04-25</t>
        </is>
      </c>
      <c r="L2" s="10" t="inlineStr">
        <is>
          <t>面料调整</t>
        </is>
      </c>
    </row>
    <row r="3">
      <c r="A3" s="14" t="inlineStr">
        <is>
          <t>SM-2026-002</t>
        </is>
      </c>
      <c r="B3" s="14" t="inlineStr">
        <is>
          <t>PO-2026-011</t>
        </is>
      </c>
      <c r="C3" s="14" t="inlineStr">
        <is>
          <t>Bloomingdale's</t>
        </is>
      </c>
      <c r="D3" s="14" t="inlineStr">
        <is>
          <t>MEN JACKET</t>
        </is>
      </c>
      <c r="E3" s="14" t="inlineStr">
        <is>
          <t>灰</t>
        </is>
      </c>
      <c r="F3" s="14" t="inlineStr">
        <is>
          <t>M</t>
        </is>
      </c>
      <c r="G3" s="14" t="n">
        <v>21</v>
      </c>
      <c r="H3" s="14" t="inlineStr">
        <is>
          <t>待打版</t>
        </is>
      </c>
      <c r="I3" s="14" t="inlineStr">
        <is>
          <t>杭州三厂</t>
        </is>
      </c>
      <c r="J3" s="22" t="inlineStr">
        <is>
          <t>2026-05-11</t>
        </is>
      </c>
      <c r="K3" s="14" t="inlineStr"/>
      <c r="L3" s="14" t="inlineStr"/>
    </row>
    <row r="4">
      <c r="A4" s="10" t="inlineStr">
        <is>
          <t>SM-2026-003</t>
        </is>
      </c>
      <c r="B4" s="10" t="inlineStr">
        <is>
          <t>PO-2026-002</t>
        </is>
      </c>
      <c r="C4" s="10" t="inlineStr">
        <is>
          <t>Anthropologie</t>
        </is>
      </c>
      <c r="D4" s="10" t="inlineStr">
        <is>
          <t>WOMEN BLOUSE</t>
        </is>
      </c>
      <c r="E4" s="10" t="inlineStr">
        <is>
          <t>白</t>
        </is>
      </c>
      <c r="F4" s="10" t="inlineStr">
        <is>
          <t>S/L</t>
        </is>
      </c>
      <c r="G4" s="10" t="n">
        <v>80</v>
      </c>
      <c r="H4" s="10" t="inlineStr">
        <is>
          <t>已寄出</t>
        </is>
      </c>
      <c r="I4" s="10" t="inlineStr">
        <is>
          <t>杭州三厂</t>
        </is>
      </c>
      <c r="J4" s="19" t="inlineStr">
        <is>
          <t>2026-05-02</t>
        </is>
      </c>
      <c r="K4" s="10" t="inlineStr"/>
      <c r="L4" s="10" t="inlineStr"/>
    </row>
    <row r="5">
      <c r="A5" s="14" t="inlineStr">
        <is>
          <t>SM-2026-004</t>
        </is>
      </c>
      <c r="B5" s="14" t="inlineStr">
        <is>
          <t>PO-2026-007</t>
        </is>
      </c>
      <c r="C5" s="14" t="inlineStr">
        <is>
          <t>Nordstrom</t>
        </is>
      </c>
      <c r="D5" s="14" t="inlineStr">
        <is>
          <t>MEN'S T-SHIRT</t>
        </is>
      </c>
      <c r="E5" s="14" t="inlineStr">
        <is>
          <t>灰</t>
        </is>
      </c>
      <c r="F5" s="14" t="inlineStr">
        <is>
          <t>XL/S/M</t>
        </is>
      </c>
      <c r="G5" s="14" t="n">
        <v>124</v>
      </c>
      <c r="H5" s="14" t="inlineStr">
        <is>
          <t>打版中</t>
        </is>
      </c>
      <c r="I5" s="14" t="inlineStr">
        <is>
          <t>上海一厂</t>
        </is>
      </c>
      <c r="J5" s="22" t="inlineStr">
        <is>
          <t>2026-04-07</t>
        </is>
      </c>
      <c r="K5" s="14" t="inlineStr"/>
      <c r="L5" s="14" t="inlineStr"/>
    </row>
    <row r="6">
      <c r="A6" s="10" t="inlineStr">
        <is>
          <t>SM-2026-005</t>
        </is>
      </c>
      <c r="B6" s="10" t="inlineStr">
        <is>
          <t>PO-2026-022</t>
        </is>
      </c>
      <c r="C6" s="10" t="inlineStr">
        <is>
          <t>Urban Outfitters</t>
        </is>
      </c>
      <c r="D6" s="10" t="inlineStr">
        <is>
          <t>KIDS DRESS</t>
        </is>
      </c>
      <c r="E6" s="10" t="inlineStr">
        <is>
          <t>红</t>
        </is>
      </c>
      <c r="F6" s="10" t="inlineStr">
        <is>
          <t>XL/L</t>
        </is>
      </c>
      <c r="G6" s="10" t="n">
        <v>33</v>
      </c>
      <c r="H6" s="10" t="inlineStr">
        <is>
          <t>已确认</t>
        </is>
      </c>
      <c r="I6" s="10" t="inlineStr">
        <is>
          <t>杭州三厂</t>
        </is>
      </c>
      <c r="J6" s="19" t="inlineStr">
        <is>
          <t>2026-05-12</t>
        </is>
      </c>
      <c r="K6" s="19" t="inlineStr">
        <is>
          <t>2026-04-17</t>
        </is>
      </c>
      <c r="L6" s="10" t="inlineStr">
        <is>
          <t>面料调整</t>
        </is>
      </c>
    </row>
    <row r="7">
      <c r="A7" s="14" t="inlineStr">
        <is>
          <t>SM-2026-006</t>
        </is>
      </c>
      <c r="B7" s="14" t="inlineStr">
        <is>
          <t>PO-2026-013</t>
        </is>
      </c>
      <c r="C7" s="14" t="inlineStr">
        <is>
          <t>J.Crew</t>
        </is>
      </c>
      <c r="D7" s="14" t="inlineStr">
        <is>
          <t>KIDS DRESS</t>
        </is>
      </c>
      <c r="E7" s="14" t="inlineStr">
        <is>
          <t>白</t>
        </is>
      </c>
      <c r="F7" s="14" t="inlineStr">
        <is>
          <t>M</t>
        </is>
      </c>
      <c r="G7" s="14" t="n">
        <v>68</v>
      </c>
      <c r="H7" s="14" t="inlineStr">
        <is>
          <t>客户打回</t>
        </is>
      </c>
      <c r="I7" s="14" t="inlineStr">
        <is>
          <t>苏州二厂</t>
        </is>
      </c>
      <c r="J7" s="22" t="inlineStr">
        <is>
          <t>2026-04-09</t>
        </is>
      </c>
      <c r="K7" s="22" t="inlineStr">
        <is>
          <t>2026-05-08</t>
        </is>
      </c>
      <c r="L7" s="14" t="inlineStr"/>
    </row>
    <row r="8">
      <c r="A8" s="10" t="inlineStr">
        <is>
          <t>SM-2026-007</t>
        </is>
      </c>
      <c r="B8" s="10" t="inlineStr">
        <is>
          <t>PO-2026-006</t>
        </is>
      </c>
      <c r="C8" s="10" t="inlineStr">
        <is>
          <t>Free People</t>
        </is>
      </c>
      <c r="D8" s="10" t="inlineStr">
        <is>
          <t>WOMEN SKIRT</t>
        </is>
      </c>
      <c r="E8" s="10" t="inlineStr">
        <is>
          <t>黑</t>
        </is>
      </c>
      <c r="F8" s="10" t="inlineStr">
        <is>
          <t>XL</t>
        </is>
      </c>
      <c r="G8" s="10" t="n">
        <v>160</v>
      </c>
      <c r="H8" s="10" t="inlineStr">
        <is>
          <t>待打版</t>
        </is>
      </c>
      <c r="I8" s="10" t="inlineStr">
        <is>
          <t>上海一厂</t>
        </is>
      </c>
      <c r="J8" s="19" t="inlineStr">
        <is>
          <t>2026-05-12</t>
        </is>
      </c>
      <c r="K8" s="10" t="inlineStr"/>
      <c r="L8" s="10" t="inlineStr"/>
    </row>
    <row r="9">
      <c r="A9" s="14" t="inlineStr">
        <is>
          <t>SM-2026-008</t>
        </is>
      </c>
      <c r="B9" s="14" t="inlineStr">
        <is>
          <t>PO-2026-018</t>
        </is>
      </c>
      <c r="C9" s="14" t="inlineStr">
        <is>
          <t>Madewell</t>
        </is>
      </c>
      <c r="D9" s="14" t="inlineStr">
        <is>
          <t>WOMEN BLOUSE</t>
        </is>
      </c>
      <c r="E9" s="14" t="inlineStr">
        <is>
          <t>白</t>
        </is>
      </c>
      <c r="F9" s="14" t="inlineStr">
        <is>
          <t>M</t>
        </is>
      </c>
      <c r="G9" s="14" t="n">
        <v>124</v>
      </c>
      <c r="H9" s="14" t="inlineStr">
        <is>
          <t>客户确认</t>
        </is>
      </c>
      <c r="I9" s="14" t="inlineStr">
        <is>
          <t>苏州二厂</t>
        </is>
      </c>
      <c r="J9" s="22" t="inlineStr">
        <is>
          <t>2026-04-14</t>
        </is>
      </c>
      <c r="K9" s="22" t="inlineStr">
        <is>
          <t>2026-05-06</t>
        </is>
      </c>
      <c r="L9" s="14" t="inlineStr"/>
    </row>
    <row r="10">
      <c r="A10" s="10" t="inlineStr">
        <is>
          <t>SM-2026-009</t>
        </is>
      </c>
      <c r="B10" s="10" t="inlineStr">
        <is>
          <t>PO-2026-029</t>
        </is>
      </c>
      <c r="C10" s="10" t="inlineStr">
        <is>
          <t>Bloomingdale's</t>
        </is>
      </c>
      <c r="D10" s="10" t="inlineStr">
        <is>
          <t>MEN'S T-SHIRT</t>
        </is>
      </c>
      <c r="E10" s="10" t="inlineStr">
        <is>
          <t>红</t>
        </is>
      </c>
      <c r="F10" s="10" t="inlineStr">
        <is>
          <t>XL</t>
        </is>
      </c>
      <c r="G10" s="10" t="n">
        <v>87</v>
      </c>
      <c r="H10" s="10" t="inlineStr">
        <is>
          <t>客户确认</t>
        </is>
      </c>
      <c r="I10" s="10" t="inlineStr">
        <is>
          <t>苏州二厂</t>
        </is>
      </c>
      <c r="J10" s="19" t="inlineStr">
        <is>
          <t>2026-04-28</t>
        </is>
      </c>
      <c r="K10" s="19" t="inlineStr">
        <is>
          <t>2026-05-25</t>
        </is>
      </c>
      <c r="L10" s="10" t="inlineStr">
        <is>
          <t>客户满意</t>
        </is>
      </c>
    </row>
    <row r="11">
      <c r="A11" s="14" t="inlineStr">
        <is>
          <t>SM-2026-010</t>
        </is>
      </c>
      <c r="B11" s="14" t="inlineStr">
        <is>
          <t>PO-2026-005</t>
        </is>
      </c>
      <c r="C11" s="14" t="inlineStr">
        <is>
          <t>Anthropologie</t>
        </is>
      </c>
      <c r="D11" s="14" t="inlineStr">
        <is>
          <t>KIDS DRESS</t>
        </is>
      </c>
      <c r="E11" s="14" t="inlineStr">
        <is>
          <t>黑</t>
        </is>
      </c>
      <c r="F11" s="14" t="inlineStr">
        <is>
          <t>S</t>
        </is>
      </c>
      <c r="G11" s="14" t="n">
        <v>100</v>
      </c>
      <c r="H11" s="14" t="inlineStr">
        <is>
          <t>待打版</t>
        </is>
      </c>
      <c r="I11" s="14" t="inlineStr">
        <is>
          <t>上海一厂</t>
        </is>
      </c>
      <c r="J11" s="22" t="inlineStr">
        <is>
          <t>2026-05-08</t>
        </is>
      </c>
      <c r="K11" s="14" t="inlineStr"/>
      <c r="L11" s="14" t="inlineStr"/>
    </row>
    <row r="12">
      <c r="A12" s="10" t="inlineStr">
        <is>
          <t>SM-2026-011</t>
        </is>
      </c>
      <c r="B12" s="10" t="inlineStr">
        <is>
          <t>PO-2026-016</t>
        </is>
      </c>
      <c r="C12" s="10" t="inlineStr">
        <is>
          <t>Nordstrom</t>
        </is>
      </c>
      <c r="D12" s="10" t="inlineStr">
        <is>
          <t>MEN JACKET</t>
        </is>
      </c>
      <c r="E12" s="10" t="inlineStr">
        <is>
          <t>黑</t>
        </is>
      </c>
      <c r="F12" s="10" t="inlineStr">
        <is>
          <t>S</t>
        </is>
      </c>
      <c r="G12" s="10" t="n">
        <v>67</v>
      </c>
      <c r="H12" s="10" t="inlineStr">
        <is>
          <t>待打版</t>
        </is>
      </c>
      <c r="I12" s="10" t="inlineStr">
        <is>
          <t>杭州三厂</t>
        </is>
      </c>
      <c r="J12" s="19" t="inlineStr">
        <is>
          <t>2026-04-05</t>
        </is>
      </c>
      <c r="K12" s="10" t="inlineStr"/>
      <c r="L12" s="10" t="inlineStr"/>
    </row>
    <row r="13">
      <c r="A13" s="14" t="inlineStr">
        <is>
          <t>SM-2026-012</t>
        </is>
      </c>
      <c r="B13" s="14" t="inlineStr">
        <is>
          <t>PO-2026-022</t>
        </is>
      </c>
      <c r="C13" s="14" t="inlineStr">
        <is>
          <t>Madewell</t>
        </is>
      </c>
      <c r="D13" s="14" t="inlineStr">
        <is>
          <t>MEN'S T-SHIRT</t>
        </is>
      </c>
      <c r="E13" s="14" t="inlineStr">
        <is>
          <t>红</t>
        </is>
      </c>
      <c r="F13" s="14" t="inlineStr">
        <is>
          <t>M</t>
        </is>
      </c>
      <c r="G13" s="14" t="n">
        <v>168</v>
      </c>
      <c r="H13" s="14" t="inlineStr">
        <is>
          <t>客户打回</t>
        </is>
      </c>
      <c r="I13" s="14" t="inlineStr">
        <is>
          <t>上海一厂</t>
        </is>
      </c>
      <c r="J13" s="22" t="inlineStr">
        <is>
          <t>2026-05-10</t>
        </is>
      </c>
      <c r="K13" s="22" t="inlineStr">
        <is>
          <t>2026-04-16</t>
        </is>
      </c>
      <c r="L13" s="14" t="inlineStr"/>
    </row>
    <row r="14">
      <c r="A14" s="10" t="inlineStr">
        <is>
          <t>SM-2026-013</t>
        </is>
      </c>
      <c r="B14" s="10" t="inlineStr">
        <is>
          <t>PO-2026-014</t>
        </is>
      </c>
      <c r="C14" s="10" t="inlineStr">
        <is>
          <t>J.Crew</t>
        </is>
      </c>
      <c r="D14" s="10" t="inlineStr">
        <is>
          <t>MEN JACKET</t>
        </is>
      </c>
      <c r="E14" s="10" t="inlineStr">
        <is>
          <t>灰</t>
        </is>
      </c>
      <c r="F14" s="10" t="inlineStr">
        <is>
          <t>L/M/S</t>
        </is>
      </c>
      <c r="G14" s="10" t="n">
        <v>191</v>
      </c>
      <c r="H14" s="10" t="inlineStr">
        <is>
          <t>已确认</t>
        </is>
      </c>
      <c r="I14" s="10" t="inlineStr">
        <is>
          <t>苏州二厂</t>
        </is>
      </c>
      <c r="J14" s="19" t="inlineStr">
        <is>
          <t>2026-04-16</t>
        </is>
      </c>
      <c r="K14" s="19" t="inlineStr">
        <is>
          <t>2026-04-27</t>
        </is>
      </c>
      <c r="L14" s="10" t="inlineStr">
        <is>
          <t>客户满意</t>
        </is>
      </c>
    </row>
    <row r="15">
      <c r="A15" s="14" t="inlineStr">
        <is>
          <t>SM-2026-014</t>
        </is>
      </c>
      <c r="B15" s="14" t="inlineStr">
        <is>
          <t>PO-2026-005</t>
        </is>
      </c>
      <c r="C15" s="14" t="inlineStr">
        <is>
          <t>J.Crew</t>
        </is>
      </c>
      <c r="D15" s="14" t="inlineStr">
        <is>
          <t>KIDS DRESS</t>
        </is>
      </c>
      <c r="E15" s="14" t="inlineStr">
        <is>
          <t>红</t>
        </is>
      </c>
      <c r="F15" s="14" t="inlineStr">
        <is>
          <t>S/XL</t>
        </is>
      </c>
      <c r="G15" s="14" t="n">
        <v>137</v>
      </c>
      <c r="H15" s="14" t="inlineStr">
        <is>
          <t>客户打回</t>
        </is>
      </c>
      <c r="I15" s="14" t="inlineStr">
        <is>
          <t>杭州三厂</t>
        </is>
      </c>
      <c r="J15" s="22" t="inlineStr">
        <is>
          <t>2026-04-07</t>
        </is>
      </c>
      <c r="K15" s="22" t="inlineStr">
        <is>
          <t>2026-04-15</t>
        </is>
      </c>
      <c r="L15" s="14" t="inlineStr"/>
    </row>
    <row r="16">
      <c r="A16" s="10" t="inlineStr">
        <is>
          <t>SM-2026-015</t>
        </is>
      </c>
      <c r="B16" s="10" t="inlineStr">
        <is>
          <t>PO-2026-018</t>
        </is>
      </c>
      <c r="C16" s="10" t="inlineStr">
        <is>
          <t>Anthropologie</t>
        </is>
      </c>
      <c r="D16" s="10" t="inlineStr">
        <is>
          <t>MEN JACKET</t>
        </is>
      </c>
      <c r="E16" s="10" t="inlineStr">
        <is>
          <t>蓝</t>
        </is>
      </c>
      <c r="F16" s="10" t="inlineStr">
        <is>
          <t>L</t>
        </is>
      </c>
      <c r="G16" s="10" t="n">
        <v>37</v>
      </c>
      <c r="H16" s="10" t="inlineStr">
        <is>
          <t>打版中</t>
        </is>
      </c>
      <c r="I16" s="10" t="inlineStr">
        <is>
          <t>苏州二厂</t>
        </is>
      </c>
      <c r="J16" s="19" t="inlineStr">
        <is>
          <t>2026-04-19</t>
        </is>
      </c>
      <c r="K16" s="10" t="inlineStr"/>
      <c r="L16" s="10" t="inlineStr"/>
    </row>
    <row r="17">
      <c r="A17" s="14" t="inlineStr">
        <is>
          <t>SM-2026-016</t>
        </is>
      </c>
      <c r="B17" s="14" t="inlineStr">
        <is>
          <t>PO-2026-006</t>
        </is>
      </c>
      <c r="C17" s="14" t="inlineStr">
        <is>
          <t>Urban Outfitters</t>
        </is>
      </c>
      <c r="D17" s="14" t="inlineStr">
        <is>
          <t>MEN JACKET</t>
        </is>
      </c>
      <c r="E17" s="14" t="inlineStr">
        <is>
          <t>蓝</t>
        </is>
      </c>
      <c r="F17" s="14" t="inlineStr">
        <is>
          <t>S/L/M</t>
        </is>
      </c>
      <c r="G17" s="14" t="n">
        <v>189</v>
      </c>
      <c r="H17" s="14" t="inlineStr">
        <is>
          <t>待打版</t>
        </is>
      </c>
      <c r="I17" s="14" t="inlineStr">
        <is>
          <t>上海一厂</t>
        </is>
      </c>
      <c r="J17" s="22" t="inlineStr">
        <is>
          <t>2026-04-17</t>
        </is>
      </c>
      <c r="K17" s="14" t="inlineStr"/>
      <c r="L17" s="14" t="inlineStr"/>
    </row>
    <row r="18">
      <c r="A18" s="10" t="inlineStr">
        <is>
          <t>SM-2026-017</t>
        </is>
      </c>
      <c r="B18" s="10" t="inlineStr">
        <is>
          <t>PO-2026-004</t>
        </is>
      </c>
      <c r="C18" s="10" t="inlineStr">
        <is>
          <t>Bloomingdale's</t>
        </is>
      </c>
      <c r="D18" s="10" t="inlineStr">
        <is>
          <t>MEN JACKET</t>
        </is>
      </c>
      <c r="E18" s="10" t="inlineStr">
        <is>
          <t>黑</t>
        </is>
      </c>
      <c r="F18" s="10" t="inlineStr">
        <is>
          <t>L/XL</t>
        </is>
      </c>
      <c r="G18" s="10" t="n">
        <v>73</v>
      </c>
      <c r="H18" s="10" t="inlineStr">
        <is>
          <t>已确认</t>
        </is>
      </c>
      <c r="I18" s="10" t="inlineStr">
        <is>
          <t>苏州二厂</t>
        </is>
      </c>
      <c r="J18" s="19" t="inlineStr">
        <is>
          <t>2026-04-14</t>
        </is>
      </c>
      <c r="K18" s="19" t="inlineStr">
        <is>
          <t>2026-05-24</t>
        </is>
      </c>
      <c r="L18" s="10" t="inlineStr">
        <is>
          <t>颜色待定</t>
        </is>
      </c>
    </row>
    <row r="19">
      <c r="A19" s="14" t="inlineStr">
        <is>
          <t>SM-2026-018</t>
        </is>
      </c>
      <c r="B19" s="14" t="inlineStr">
        <is>
          <t>PO-2026-017</t>
        </is>
      </c>
      <c r="C19" s="14" t="inlineStr">
        <is>
          <t>Urban Outfitters</t>
        </is>
      </c>
      <c r="D19" s="14" t="inlineStr">
        <is>
          <t>KIDS DRESS</t>
        </is>
      </c>
      <c r="E19" s="14" t="inlineStr">
        <is>
          <t>白</t>
        </is>
      </c>
      <c r="F19" s="14" t="inlineStr">
        <is>
          <t>XL</t>
        </is>
      </c>
      <c r="G19" s="14" t="n">
        <v>90</v>
      </c>
      <c r="H19" s="14" t="inlineStr">
        <is>
          <t>待打版</t>
        </is>
      </c>
      <c r="I19" s="14" t="inlineStr">
        <is>
          <t>上海一厂</t>
        </is>
      </c>
      <c r="J19" s="22" t="inlineStr">
        <is>
          <t>2026-04-22</t>
        </is>
      </c>
      <c r="K19" s="14" t="inlineStr"/>
      <c r="L19" s="14" t="inlineStr"/>
    </row>
    <row r="20">
      <c r="A20" s="10" t="inlineStr">
        <is>
          <t>SM-2026-019</t>
        </is>
      </c>
      <c r="B20" s="10" t="inlineStr">
        <is>
          <t>PO-2026-025</t>
        </is>
      </c>
      <c r="C20" s="10" t="inlineStr">
        <is>
          <t>Anthropologie</t>
        </is>
      </c>
      <c r="D20" s="10" t="inlineStr">
        <is>
          <t>KIDS DRESS</t>
        </is>
      </c>
      <c r="E20" s="10" t="inlineStr">
        <is>
          <t>黑</t>
        </is>
      </c>
      <c r="F20" s="10" t="inlineStr">
        <is>
          <t>XL/L/M</t>
        </is>
      </c>
      <c r="G20" s="10" t="n">
        <v>163</v>
      </c>
      <c r="H20" s="10" t="inlineStr">
        <is>
          <t>待打版</t>
        </is>
      </c>
      <c r="I20" s="10" t="inlineStr">
        <is>
          <t>上海一厂</t>
        </is>
      </c>
      <c r="J20" s="19" t="inlineStr">
        <is>
          <t>2026-04-05</t>
        </is>
      </c>
      <c r="K20" s="10" t="inlineStr"/>
      <c r="L20" s="10" t="inlineStr"/>
    </row>
    <row r="21">
      <c r="A21" s="14" t="inlineStr">
        <is>
          <t>SM-2026-020</t>
        </is>
      </c>
      <c r="B21" s="14" t="inlineStr">
        <is>
          <t>PO-2026-029</t>
        </is>
      </c>
      <c r="C21" s="14" t="inlineStr">
        <is>
          <t>J.Crew</t>
        </is>
      </c>
      <c r="D21" s="14" t="inlineStr">
        <is>
          <t>MEN'S T-SHIRT</t>
        </is>
      </c>
      <c r="E21" s="14" t="inlineStr">
        <is>
          <t>灰</t>
        </is>
      </c>
      <c r="F21" s="14" t="inlineStr">
        <is>
          <t>L</t>
        </is>
      </c>
      <c r="G21" s="14" t="n">
        <v>169</v>
      </c>
      <c r="H21" s="14" t="inlineStr">
        <is>
          <t>客户打回</t>
        </is>
      </c>
      <c r="I21" s="14" t="inlineStr">
        <is>
          <t>上海一厂</t>
        </is>
      </c>
      <c r="J21" s="22" t="inlineStr">
        <is>
          <t>2026-04-28</t>
        </is>
      </c>
      <c r="K21" s="22" t="inlineStr">
        <is>
          <t>2026-04-19</t>
        </is>
      </c>
      <c r="L21" s="14" t="inlineStr"/>
    </row>
  </sheetData>
  <autoFilter ref="A1:L21"/>
  <conditionalFormatting sqref="H2:H21">
    <cfRule type="cellIs" priority="1" operator="equal" dxfId="1">
      <formula>"已确认"</formula>
    </cfRule>
    <cfRule type="cellIs" priority="2" operator="equal" dxfId="0">
      <formula>"客户打回"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 ht="32" customHeight="1">
      <c r="A1" s="7" t="inlineStr">
        <is>
          <t>物料编码</t>
        </is>
      </c>
      <c r="B1" s="7" t="inlineStr">
        <is>
          <t>名称</t>
        </is>
      </c>
      <c r="C1" s="7" t="inlineStr">
        <is>
          <t>规格</t>
        </is>
      </c>
      <c r="D1" s="7" t="inlineStr">
        <is>
          <t>当前库存</t>
        </is>
      </c>
      <c r="E1" s="7" t="inlineStr">
        <is>
          <t>安全库存</t>
        </is>
      </c>
      <c r="F1" s="7" t="inlineStr">
        <is>
          <t>在途数</t>
        </is>
      </c>
      <c r="G1" s="7" t="inlineStr">
        <is>
          <t>预计到货</t>
        </is>
      </c>
      <c r="H1" s="7" t="inlineStr">
        <is>
          <t>关联订单</t>
        </is>
      </c>
    </row>
    <row r="2">
      <c r="A2" s="10" t="inlineStr">
        <is>
          <t>M-COT-001</t>
        </is>
      </c>
      <c r="B2" s="10" t="inlineStr">
        <is>
          <t>纯棉面料</t>
        </is>
      </c>
      <c r="C2" s="10" t="inlineStr">
        <is>
          <t>180g/m² 幅宽1.5m</t>
        </is>
      </c>
      <c r="D2" s="10" t="n">
        <v>1200</v>
      </c>
      <c r="E2" s="10" t="n">
        <v>500</v>
      </c>
      <c r="F2" s="10" t="n">
        <v>800</v>
      </c>
      <c r="G2" s="19" t="inlineStr">
        <is>
          <t>2026-06-02</t>
        </is>
      </c>
      <c r="H2" s="10" t="inlineStr">
        <is>
          <t>PO-2026-038</t>
        </is>
      </c>
    </row>
    <row r="3">
      <c r="A3" s="14" t="inlineStr">
        <is>
          <t>M-SLK-002</t>
        </is>
      </c>
      <c r="B3" s="14" t="inlineStr">
        <is>
          <t>真丝缎面</t>
        </is>
      </c>
      <c r="C3" s="14" t="inlineStr">
        <is>
          <t>22姆米</t>
        </is>
      </c>
      <c r="D3" s="14" t="n">
        <v>300</v>
      </c>
      <c r="E3" s="14" t="n">
        <v>400</v>
      </c>
      <c r="F3" s="14" t="n">
        <v>0</v>
      </c>
      <c r="G3" s="14" t="inlineStr"/>
      <c r="H3" s="14" t="inlineStr">
        <is>
          <t>PO-2026-041</t>
        </is>
      </c>
    </row>
    <row r="4">
      <c r="A4" s="10" t="inlineStr">
        <is>
          <t>M-LIN-003</t>
        </is>
      </c>
      <c r="B4" s="10" t="inlineStr">
        <is>
          <t>亚麻布</t>
        </is>
      </c>
      <c r="C4" s="10" t="inlineStr">
        <is>
          <t>230g/m²</t>
        </is>
      </c>
      <c r="D4" s="10" t="n">
        <v>800</v>
      </c>
      <c r="E4" s="10" t="n">
        <v>300</v>
      </c>
      <c r="F4" s="10" t="n">
        <v>200</v>
      </c>
      <c r="G4" s="19" t="inlineStr">
        <is>
          <t>2026-06-10</t>
        </is>
      </c>
      <c r="H4" s="10" t="inlineStr">
        <is>
          <t>PO-2026-045</t>
        </is>
      </c>
    </row>
    <row r="5">
      <c r="A5" s="14" t="inlineStr">
        <is>
          <t>M-WOL-004</t>
        </is>
      </c>
      <c r="B5" s="14" t="inlineStr">
        <is>
          <t>羊毛呢</t>
        </is>
      </c>
      <c r="C5" s="14" t="inlineStr">
        <is>
          <t>380g/m²</t>
        </is>
      </c>
      <c r="D5" s="14" t="n">
        <v>150</v>
      </c>
      <c r="E5" s="14" t="n">
        <v>200</v>
      </c>
      <c r="F5" s="14" t="n">
        <v>300</v>
      </c>
      <c r="G5" s="22" t="inlineStr">
        <is>
          <t>2026-06-12</t>
        </is>
      </c>
      <c r="H5" s="14" t="inlineStr">
        <is>
          <t>PO-2026-029</t>
        </is>
      </c>
    </row>
    <row r="6">
      <c r="A6" s="10" t="inlineStr">
        <is>
          <t>M-POL-005</t>
        </is>
      </c>
      <c r="B6" s="10" t="inlineStr">
        <is>
          <t>涤纶里布</t>
        </is>
      </c>
      <c r="C6" s="10" t="inlineStr">
        <is>
          <t>210T</t>
        </is>
      </c>
      <c r="D6" s="10" t="n">
        <v>2500</v>
      </c>
      <c r="E6" s="10" t="n">
        <v>1000</v>
      </c>
      <c r="F6" s="10" t="n">
        <v>0</v>
      </c>
      <c r="G6" s="10" t="inlineStr"/>
      <c r="H6" s="10" t="inlineStr">
        <is>
          <t>PO-2026-052</t>
        </is>
      </c>
    </row>
    <row r="7">
      <c r="A7" s="14" t="inlineStr">
        <is>
          <t>M-BTN-006</t>
        </is>
      </c>
      <c r="B7" s="14" t="inlineStr">
        <is>
          <t>树脂纽扣</t>
        </is>
      </c>
      <c r="C7" s="14" t="inlineStr">
        <is>
          <t>12mm 4眼</t>
        </is>
      </c>
      <c r="D7" s="14" t="n">
        <v>5000</v>
      </c>
      <c r="E7" s="14" t="n">
        <v>1000</v>
      </c>
      <c r="F7" s="14" t="n">
        <v>0</v>
      </c>
      <c r="G7" s="14" t="inlineStr"/>
      <c r="H7" s="14" t="inlineStr">
        <is>
          <t>PO-2026-038</t>
        </is>
      </c>
    </row>
    <row r="8">
      <c r="A8" s="10" t="inlineStr">
        <is>
          <t>M-ZIP-007</t>
        </is>
      </c>
      <c r="B8" s="10" t="inlineStr">
        <is>
          <t>金属拉链</t>
        </is>
      </c>
      <c r="C8" s="10" t="inlineStr">
        <is>
          <t>5号 银色</t>
        </is>
      </c>
      <c r="D8" s="10" t="n">
        <v>200</v>
      </c>
      <c r="E8" s="10" t="n">
        <v>300</v>
      </c>
      <c r="F8" s="10" t="n">
        <v>500</v>
      </c>
      <c r="G8" s="19" t="inlineStr">
        <is>
          <t>2026-06-29</t>
        </is>
      </c>
      <c r="H8" s="10" t="inlineStr">
        <is>
          <t>PO-2026-033</t>
        </is>
      </c>
    </row>
    <row r="9">
      <c r="A9" s="14" t="inlineStr">
        <is>
          <t>M-THR-008</t>
        </is>
      </c>
      <c r="B9" s="14" t="inlineStr">
        <is>
          <t>缝纫线</t>
        </is>
      </c>
      <c r="C9" s="14" t="inlineStr">
        <is>
          <t>40/2 白色</t>
        </is>
      </c>
      <c r="D9" s="14" t="n">
        <v>80</v>
      </c>
      <c r="E9" s="14" t="n">
        <v>50</v>
      </c>
      <c r="F9" s="14" t="n">
        <v>0</v>
      </c>
      <c r="G9" s="14" t="inlineStr"/>
      <c r="H9" s="14" t="inlineStr">
        <is>
          <t>PO-2026-029</t>
        </is>
      </c>
    </row>
  </sheetData>
  <conditionalFormatting sqref="D2:E9">
    <cfRule type="expression" priority="1" dxfId="0">
      <formula>$D2&lt;$E2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  <col width="14" customWidth="1" min="5" max="5"/>
    <col width="12" customWidth="1" min="6" max="6"/>
    <col width="14" customWidth="1" min="7" max="7"/>
    <col width="10" customWidth="1" min="8" max="8"/>
    <col width="18" customWidth="1" min="9" max="9"/>
  </cols>
  <sheetData>
    <row r="1" ht="32" customHeight="1">
      <c r="A1" s="7" t="inlineStr">
        <is>
          <t>客户名</t>
        </is>
      </c>
      <c r="B1" s="7" t="inlineStr">
        <is>
          <t>联系人</t>
        </is>
      </c>
      <c r="C1" s="7" t="inlineStr">
        <is>
          <t>联系方式</t>
        </is>
      </c>
      <c r="D1" s="7" t="inlineStr">
        <is>
          <t>区域</t>
        </is>
      </c>
      <c r="E1" s="7" t="inlineStr">
        <is>
          <t>主营品类</t>
        </is>
      </c>
      <c r="F1" s="7" t="inlineStr">
        <is>
          <t>历史订单数</t>
        </is>
      </c>
      <c r="G1" s="7" t="inlineStr">
        <is>
          <t>累计金额</t>
        </is>
      </c>
      <c r="H1" s="7" t="inlineStr">
        <is>
          <t>信用评级</t>
        </is>
      </c>
      <c r="I1" s="7" t="inlineStr">
        <is>
          <t>备注</t>
        </is>
      </c>
    </row>
    <row r="2">
      <c r="A2" s="10" t="inlineStr">
        <is>
          <t>Bloomingdale's</t>
        </is>
      </c>
      <c r="B2" s="10" t="inlineStr">
        <is>
          <t>Sarah K.</t>
        </is>
      </c>
      <c r="C2" s="10" t="inlineStr">
        <is>
          <t>sarah@bloomingdales.com</t>
        </is>
      </c>
      <c r="D2" s="10" t="inlineStr">
        <is>
          <t>美东</t>
        </is>
      </c>
      <c r="E2" s="10" t="inlineStr">
        <is>
          <t>女装中高端</t>
        </is>
      </c>
      <c r="F2" s="10" t="n">
        <v>28</v>
      </c>
      <c r="G2" s="25" t="n">
        <v>3850000</v>
      </c>
      <c r="H2" s="10" t="inlineStr">
        <is>
          <t>A</t>
        </is>
      </c>
      <c r="I2" s="21" t="inlineStr">
        <is>
          <t>VIP 客户</t>
        </is>
      </c>
    </row>
    <row r="3">
      <c r="A3" s="14" t="inlineStr">
        <is>
          <t>Anthropologie</t>
        </is>
      </c>
      <c r="B3" s="14" t="inlineStr">
        <is>
          <t>Emily R.</t>
        </is>
      </c>
      <c r="C3" s="14" t="inlineStr">
        <is>
          <t>emily@anthropologie.com</t>
        </is>
      </c>
      <c r="D3" s="14" t="inlineStr">
        <is>
          <t>美东</t>
        </is>
      </c>
      <c r="E3" s="14" t="inlineStr">
        <is>
          <t>波西米亚风</t>
        </is>
      </c>
      <c r="F3" s="14" t="n">
        <v>22</v>
      </c>
      <c r="G3" s="26" t="n">
        <v>2680000</v>
      </c>
      <c r="H3" s="14" t="inlineStr">
        <is>
          <t>A</t>
        </is>
      </c>
      <c r="I3" s="24" t="inlineStr"/>
    </row>
    <row r="4">
      <c r="A4" s="10" t="inlineStr">
        <is>
          <t>Free People</t>
        </is>
      </c>
      <c r="B4" s="10" t="inlineStr">
        <is>
          <t>Megan L.</t>
        </is>
      </c>
      <c r="C4" s="10" t="inlineStr">
        <is>
          <t>megan@freepeople.com</t>
        </is>
      </c>
      <c r="D4" s="10" t="inlineStr">
        <is>
          <t>美东</t>
        </is>
      </c>
      <c r="E4" s="10" t="inlineStr">
        <is>
          <t>少女休闲</t>
        </is>
      </c>
      <c r="F4" s="10" t="n">
        <v>18</v>
      </c>
      <c r="G4" s="25" t="n">
        <v>1920000</v>
      </c>
      <c r="H4" s="10" t="inlineStr">
        <is>
          <t>A</t>
        </is>
      </c>
      <c r="I4" s="21" t="inlineStr"/>
    </row>
    <row r="5">
      <c r="A5" s="14" t="inlineStr">
        <is>
          <t>Urban Outfitters</t>
        </is>
      </c>
      <c r="B5" s="14" t="inlineStr">
        <is>
          <t>Jessica T.</t>
        </is>
      </c>
      <c r="C5" s="14" t="inlineStr">
        <is>
          <t>jessica@urbanoutfitters.com</t>
        </is>
      </c>
      <c r="D5" s="14" t="inlineStr">
        <is>
          <t>美东</t>
        </is>
      </c>
      <c r="E5" s="14" t="inlineStr">
        <is>
          <t>潮流年轻</t>
        </is>
      </c>
      <c r="F5" s="14" t="n">
        <v>15</v>
      </c>
      <c r="G5" s="26" t="n">
        <v>1480000</v>
      </c>
      <c r="H5" s="14" t="inlineStr">
        <is>
          <t>B</t>
        </is>
      </c>
      <c r="I5" s="24" t="inlineStr">
        <is>
          <t>账期 60 天</t>
        </is>
      </c>
    </row>
    <row r="6">
      <c r="A6" s="10" t="inlineStr">
        <is>
          <t>Nordstrom</t>
        </is>
      </c>
      <c r="B6" s="10" t="inlineStr">
        <is>
          <t>Ashley M.</t>
        </is>
      </c>
      <c r="C6" s="10" t="inlineStr">
        <is>
          <t>ashley@nordstrom.com</t>
        </is>
      </c>
      <c r="D6" s="10" t="inlineStr">
        <is>
          <t>美西</t>
        </is>
      </c>
      <c r="E6" s="10" t="inlineStr">
        <is>
          <t>全品类</t>
        </is>
      </c>
      <c r="F6" s="10" t="n">
        <v>12</v>
      </c>
      <c r="G6" s="25" t="n">
        <v>1650000</v>
      </c>
      <c r="H6" s="10" t="inlineStr">
        <is>
          <t>A</t>
        </is>
      </c>
      <c r="I6" s="21" t="inlineStr"/>
    </row>
    <row r="7">
      <c r="A7" s="14" t="inlineStr">
        <is>
          <t>J.Crew</t>
        </is>
      </c>
      <c r="B7" s="14" t="inlineStr">
        <is>
          <t>David P.</t>
        </is>
      </c>
      <c r="C7" s="14" t="inlineStr">
        <is>
          <t>david@jcrew.com</t>
        </is>
      </c>
      <c r="D7" s="14" t="inlineStr">
        <is>
          <t>美东</t>
        </is>
      </c>
      <c r="E7" s="14" t="inlineStr">
        <is>
          <t>休闲商务</t>
        </is>
      </c>
      <c r="F7" s="14" t="n">
        <v>8</v>
      </c>
      <c r="G7" s="26" t="n">
        <v>820000</v>
      </c>
      <c r="H7" s="14" t="inlineStr">
        <is>
          <t>B</t>
        </is>
      </c>
      <c r="I7" s="24" t="inlineStr">
        <is>
          <t>新客户</t>
        </is>
      </c>
    </row>
    <row r="8">
      <c r="A8" s="10" t="inlineStr">
        <is>
          <t>Madewell</t>
        </is>
      </c>
      <c r="B8" s="10" t="inlineStr">
        <is>
          <t>Lauren H.</t>
        </is>
      </c>
      <c r="C8" s="10" t="inlineStr">
        <is>
          <t>lauren@madewell.com</t>
        </is>
      </c>
      <c r="D8" s="10" t="inlineStr">
        <is>
          <t>美东</t>
        </is>
      </c>
      <c r="E8" s="10" t="inlineStr">
        <is>
          <t>牛仔丹宁</t>
        </is>
      </c>
      <c r="F8" s="10" t="n">
        <v>6</v>
      </c>
      <c r="G8" s="25" t="n">
        <v>480000</v>
      </c>
      <c r="H8" s="10" t="inlineStr">
        <is>
          <t>B</t>
        </is>
      </c>
      <c r="I8" s="21" t="inlineStr"/>
    </row>
  </sheetData>
  <conditionalFormatting sqref="H2:H8">
    <cfRule type="cellIs" priority="1" operator="equal" dxfId="1">
      <formula>"A"</formula>
    </cfRule>
    <cfRule type="cellIs" priority="2" operator="equal" dxfId="2">
      <formula>"B"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8" customWidth="1" min="8" max="8"/>
  </cols>
  <sheetData>
    <row r="1" ht="32" customHeight="1">
      <c r="A1" s="7" t="inlineStr">
        <is>
          <t>订单号</t>
        </is>
      </c>
      <c r="B1" s="7" t="inlineStr">
        <is>
          <t>客户</t>
        </is>
      </c>
      <c r="C1" s="7" t="inlineStr">
        <is>
          <t>应收金额</t>
        </is>
      </c>
      <c r="D1" s="7" t="inlineStr">
        <is>
          <t>已收</t>
        </is>
      </c>
      <c r="E1" s="7" t="inlineStr">
        <is>
          <t>未收</t>
        </is>
      </c>
      <c r="F1" s="7" t="inlineStr">
        <is>
          <t>收款日期</t>
        </is>
      </c>
      <c r="G1" s="7" t="inlineStr">
        <is>
          <t>发票号</t>
        </is>
      </c>
      <c r="H1" s="7" t="inlineStr">
        <is>
          <t>备注</t>
        </is>
      </c>
    </row>
    <row r="2">
      <c r="A2" s="10" t="inlineStr">
        <is>
          <t>PO-2026-001</t>
        </is>
      </c>
      <c r="B2" s="10" t="inlineStr">
        <is>
          <t>Madewell</t>
        </is>
      </c>
      <c r="C2" s="20" t="n">
        <v>275628</v>
      </c>
      <c r="D2" s="20" t="n">
        <v>0</v>
      </c>
      <c r="E2" s="20">
        <f>C2-D2</f>
        <v/>
      </c>
      <c r="F2" s="10" t="inlineStr"/>
      <c r="G2" s="10" t="inlineStr"/>
      <c r="H2" s="10" t="inlineStr">
        <is>
          <t>待收款</t>
        </is>
      </c>
    </row>
    <row r="3">
      <c r="A3" s="14" t="inlineStr">
        <is>
          <t>PO-2026-002</t>
        </is>
      </c>
      <c r="B3" s="14" t="inlineStr">
        <is>
          <t>Free People</t>
        </is>
      </c>
      <c r="C3" s="23" t="n">
        <v>105070</v>
      </c>
      <c r="D3" s="23" t="n">
        <v>31521</v>
      </c>
      <c r="E3" s="23">
        <f>C3-D3</f>
        <v/>
      </c>
      <c r="F3" s="22" t="inlineStr">
        <is>
          <t>2026-05-13</t>
        </is>
      </c>
      <c r="G3" s="14" t="inlineStr">
        <is>
          <t>INV-2026-2684</t>
        </is>
      </c>
      <c r="H3" s="14" t="inlineStr">
        <is>
          <t>部分收款</t>
        </is>
      </c>
    </row>
    <row r="4">
      <c r="A4" s="10" t="inlineStr">
        <is>
          <t>PO-2026-003</t>
        </is>
      </c>
      <c r="B4" s="10" t="inlineStr">
        <is>
          <t>Free People</t>
        </is>
      </c>
      <c r="C4" s="20" t="n">
        <v>254502</v>
      </c>
      <c r="D4" s="20" t="n">
        <v>254502</v>
      </c>
      <c r="E4" s="20">
        <f>C4-D4</f>
        <v/>
      </c>
      <c r="F4" s="19" t="inlineStr">
        <is>
          <t>2026-04-27</t>
        </is>
      </c>
      <c r="G4" s="10" t="inlineStr">
        <is>
          <t>INV-2026-3532</t>
        </is>
      </c>
      <c r="H4" s="10" t="inlineStr">
        <is>
          <t>全款已结</t>
        </is>
      </c>
    </row>
    <row r="5">
      <c r="A5" s="14" t="inlineStr">
        <is>
          <t>PO-2026-004</t>
        </is>
      </c>
      <c r="B5" s="14" t="inlineStr">
        <is>
          <t>Anthropologie</t>
        </is>
      </c>
      <c r="C5" s="23" t="n">
        <v>276651</v>
      </c>
      <c r="D5" s="23" t="n">
        <v>82995.3</v>
      </c>
      <c r="E5" s="23">
        <f>C5-D5</f>
        <v/>
      </c>
      <c r="F5" s="22" t="inlineStr">
        <is>
          <t>2026-04-12</t>
        </is>
      </c>
      <c r="G5" s="14" t="inlineStr">
        <is>
          <t>INV-2026-7755</t>
        </is>
      </c>
      <c r="H5" s="14" t="inlineStr">
        <is>
          <t>部分收款</t>
        </is>
      </c>
    </row>
    <row r="6">
      <c r="A6" s="10" t="inlineStr">
        <is>
          <t>PO-2026-005</t>
        </is>
      </c>
      <c r="B6" s="10" t="inlineStr">
        <is>
          <t>Bloomingdale's</t>
        </is>
      </c>
      <c r="C6" s="20" t="n">
        <v>97018</v>
      </c>
      <c r="D6" s="20" t="n">
        <v>48509</v>
      </c>
      <c r="E6" s="20">
        <f>C6-D6</f>
        <v/>
      </c>
      <c r="F6" s="19" t="inlineStr">
        <is>
          <t>2026-05-21</t>
        </is>
      </c>
      <c r="G6" s="10" t="inlineStr">
        <is>
          <t>INV-2026-7745</t>
        </is>
      </c>
      <c r="H6" s="10" t="inlineStr">
        <is>
          <t>部分收款</t>
        </is>
      </c>
    </row>
    <row r="7">
      <c r="A7" s="14" t="inlineStr">
        <is>
          <t>PO-2026-006</t>
        </is>
      </c>
      <c r="B7" s="14" t="inlineStr">
        <is>
          <t>Madewell</t>
        </is>
      </c>
      <c r="C7" s="23" t="n">
        <v>225612</v>
      </c>
      <c r="D7" s="23" t="n">
        <v>67683.60000000001</v>
      </c>
      <c r="E7" s="23">
        <f>C7-D7</f>
        <v/>
      </c>
      <c r="F7" s="22" t="inlineStr">
        <is>
          <t>2026-04-18</t>
        </is>
      </c>
      <c r="G7" s="14" t="inlineStr">
        <is>
          <t>INV-2026-3608</t>
        </is>
      </c>
      <c r="H7" s="14" t="inlineStr">
        <is>
          <t>部分收款</t>
        </is>
      </c>
    </row>
    <row r="8">
      <c r="A8" s="10" t="inlineStr">
        <is>
          <t>PO-2026-007</t>
        </is>
      </c>
      <c r="B8" s="10" t="inlineStr">
        <is>
          <t>Madewell</t>
        </is>
      </c>
      <c r="C8" s="20" t="n">
        <v>233835</v>
      </c>
      <c r="D8" s="20" t="n">
        <v>0</v>
      </c>
      <c r="E8" s="20">
        <f>C8-D8</f>
        <v/>
      </c>
      <c r="F8" s="10" t="inlineStr"/>
      <c r="G8" s="10" t="inlineStr"/>
      <c r="H8" s="10" t="inlineStr">
        <is>
          <t>待收款</t>
        </is>
      </c>
    </row>
    <row r="9">
      <c r="A9" s="14" t="inlineStr">
        <is>
          <t>PO-2026-008</t>
        </is>
      </c>
      <c r="B9" s="14" t="inlineStr">
        <is>
          <t>Urban Outfitters</t>
        </is>
      </c>
      <c r="C9" s="23" t="n">
        <v>278633</v>
      </c>
      <c r="D9" s="23" t="n">
        <v>0</v>
      </c>
      <c r="E9" s="23">
        <f>C9-D9</f>
        <v/>
      </c>
      <c r="F9" s="14" t="inlineStr"/>
      <c r="G9" s="14" t="inlineStr"/>
      <c r="H9" s="14" t="inlineStr">
        <is>
          <t>待收款</t>
        </is>
      </c>
    </row>
    <row r="10">
      <c r="A10" s="10" t="inlineStr">
        <is>
          <t>PO-2026-009</t>
        </is>
      </c>
      <c r="B10" s="10" t="inlineStr">
        <is>
          <t>Madewell</t>
        </is>
      </c>
      <c r="C10" s="20" t="n">
        <v>173388</v>
      </c>
      <c r="D10" s="20" t="n">
        <v>52016.4</v>
      </c>
      <c r="E10" s="20">
        <f>C10-D10</f>
        <v/>
      </c>
      <c r="F10" s="19" t="inlineStr">
        <is>
          <t>2026-04-13</t>
        </is>
      </c>
      <c r="G10" s="10" t="inlineStr">
        <is>
          <t>INV-2026-8541</t>
        </is>
      </c>
      <c r="H10" s="10" t="inlineStr">
        <is>
          <t>部分收款</t>
        </is>
      </c>
    </row>
    <row r="11">
      <c r="A11" s="14" t="inlineStr">
        <is>
          <t>PO-2026-010</t>
        </is>
      </c>
      <c r="B11" s="14" t="inlineStr">
        <is>
          <t>Free People</t>
        </is>
      </c>
      <c r="C11" s="23" t="n">
        <v>130003</v>
      </c>
      <c r="D11" s="23" t="n">
        <v>39000.9</v>
      </c>
      <c r="E11" s="23">
        <f>C11-D11</f>
        <v/>
      </c>
      <c r="F11" s="22" t="inlineStr">
        <is>
          <t>2026-04-15</t>
        </is>
      </c>
      <c r="G11" s="14" t="inlineStr">
        <is>
          <t>INV-2026-1387</t>
        </is>
      </c>
      <c r="H11" s="14" t="inlineStr">
        <is>
          <t>部分收款</t>
        </is>
      </c>
    </row>
    <row r="12">
      <c r="A12" s="10" t="inlineStr">
        <is>
          <t>PO-2026-011</t>
        </is>
      </c>
      <c r="B12" s="10" t="inlineStr">
        <is>
          <t>J.Crew</t>
        </is>
      </c>
      <c r="C12" s="20" t="n">
        <v>100627</v>
      </c>
      <c r="D12" s="20" t="n">
        <v>70438.89999999999</v>
      </c>
      <c r="E12" s="20">
        <f>C12-D12</f>
        <v/>
      </c>
      <c r="F12" s="19" t="inlineStr">
        <is>
          <t>2026-04-22</t>
        </is>
      </c>
      <c r="G12" s="10" t="inlineStr">
        <is>
          <t>INV-2026-5564</t>
        </is>
      </c>
      <c r="H12" s="10" t="inlineStr">
        <is>
          <t>部分收款</t>
        </is>
      </c>
    </row>
    <row r="13">
      <c r="A13" s="14" t="inlineStr">
        <is>
          <t>PO-2026-012</t>
        </is>
      </c>
      <c r="B13" s="14" t="inlineStr">
        <is>
          <t>Madewell</t>
        </is>
      </c>
      <c r="C13" s="23" t="n">
        <v>68198</v>
      </c>
      <c r="D13" s="23" t="n">
        <v>34099</v>
      </c>
      <c r="E13" s="23">
        <f>C13-D13</f>
        <v/>
      </c>
      <c r="F13" s="22" t="inlineStr">
        <is>
          <t>2026-04-23</t>
        </is>
      </c>
      <c r="G13" s="14" t="inlineStr">
        <is>
          <t>INV-2026-9346</t>
        </is>
      </c>
      <c r="H13" s="14" t="inlineStr">
        <is>
          <t>部分收款</t>
        </is>
      </c>
    </row>
    <row r="14">
      <c r="A14" s="10" t="inlineStr">
        <is>
          <t>PO-2026-013</t>
        </is>
      </c>
      <c r="B14" s="10" t="inlineStr">
        <is>
          <t>Urban Outfitters</t>
        </is>
      </c>
      <c r="C14" s="20" t="n">
        <v>228131</v>
      </c>
      <c r="D14" s="20" t="n">
        <v>228131</v>
      </c>
      <c r="E14" s="20">
        <f>C14-D14</f>
        <v/>
      </c>
      <c r="F14" s="19" t="inlineStr">
        <is>
          <t>2026-04-22</t>
        </is>
      </c>
      <c r="G14" s="10" t="inlineStr">
        <is>
          <t>INV-2026-1452</t>
        </is>
      </c>
      <c r="H14" s="10" t="inlineStr">
        <is>
          <t>全款已结</t>
        </is>
      </c>
    </row>
    <row r="15">
      <c r="A15" s="14" t="inlineStr">
        <is>
          <t>PO-2026-014</t>
        </is>
      </c>
      <c r="B15" s="14" t="inlineStr">
        <is>
          <t>Bloomingdale's</t>
        </is>
      </c>
      <c r="C15" s="23" t="n">
        <v>279910</v>
      </c>
      <c r="D15" s="23" t="n">
        <v>139955</v>
      </c>
      <c r="E15" s="23">
        <f>C15-D15</f>
        <v/>
      </c>
      <c r="F15" s="22" t="inlineStr">
        <is>
          <t>2026-04-12</t>
        </is>
      </c>
      <c r="G15" s="14" t="inlineStr">
        <is>
          <t>INV-2026-5349</t>
        </is>
      </c>
      <c r="H15" s="14" t="inlineStr">
        <is>
          <t>部分收款</t>
        </is>
      </c>
    </row>
    <row r="16">
      <c r="A16" s="10" t="inlineStr">
        <is>
          <t>PO-2026-015</t>
        </is>
      </c>
      <c r="B16" s="10" t="inlineStr">
        <is>
          <t>Bloomingdale's</t>
        </is>
      </c>
      <c r="C16" s="20" t="n">
        <v>78417</v>
      </c>
      <c r="D16" s="20" t="n">
        <v>78417</v>
      </c>
      <c r="E16" s="20">
        <f>C16-D16</f>
        <v/>
      </c>
      <c r="F16" s="19" t="inlineStr">
        <is>
          <t>2026-04-28</t>
        </is>
      </c>
      <c r="G16" s="10" t="inlineStr">
        <is>
          <t>INV-2026-6663</t>
        </is>
      </c>
      <c r="H16" s="10" t="inlineStr">
        <is>
          <t>全款已结</t>
        </is>
      </c>
    </row>
    <row r="17">
      <c r="B17" s="27" t="inlineStr">
        <is>
          <t>合计</t>
        </is>
      </c>
      <c r="C17" s="28">
        <f>SUM(C2:C16)</f>
        <v/>
      </c>
      <c r="D17" s="28">
        <f>SUM(D2:D16)</f>
        <v/>
      </c>
      <c r="E17" s="28">
        <f>SUM(E2:E16)</f>
        <v/>
      </c>
      <c r="F17" s="29" t="n"/>
      <c r="G17" s="29" t="n"/>
      <c r="H17" s="29" t="n"/>
    </row>
  </sheetData>
  <conditionalFormatting sqref="E2:E16">
    <cfRule type="expression" priority="1" dxfId="2">
      <formula>$E2&gt;0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30" t="inlineStr">
        <is>
          <t>2026 年月度业绩报表</t>
        </is>
      </c>
    </row>
    <row r="4" ht="32" customHeight="1">
      <c r="B4" s="7" t="inlineStr">
        <is>
          <t>月份</t>
        </is>
      </c>
      <c r="C4" s="7" t="inlineStr">
        <is>
          <t>订单数</t>
        </is>
      </c>
      <c r="D4" s="7" t="inlineStr">
        <is>
          <t>营收</t>
        </is>
      </c>
      <c r="E4" s="7" t="inlineStr">
        <is>
          <t>打样数</t>
        </is>
      </c>
      <c r="F4" s="7" t="inlineStr">
        <is>
          <t>超期数</t>
        </is>
      </c>
      <c r="G4" s="7" t="inlineStr">
        <is>
          <t>环比</t>
        </is>
      </c>
    </row>
    <row r="5">
      <c r="B5" s="10" t="inlineStr">
        <is>
          <t>2026-01</t>
        </is>
      </c>
      <c r="C5" s="10" t="n">
        <v>18</v>
      </c>
      <c r="D5" s="25" t="n">
        <v>420000</v>
      </c>
      <c r="E5" s="10" t="n">
        <v>25</v>
      </c>
      <c r="F5" s="10" t="n">
        <v>2</v>
      </c>
      <c r="G5" s="10" t="n"/>
    </row>
    <row r="6">
      <c r="B6" s="14" t="inlineStr">
        <is>
          <t>2026-02</t>
        </is>
      </c>
      <c r="C6" s="14" t="n">
        <v>15</v>
      </c>
      <c r="D6" s="26" t="n">
        <v>380000</v>
      </c>
      <c r="E6" s="14" t="n">
        <v>18</v>
      </c>
      <c r="F6" s="14" t="n">
        <v>1</v>
      </c>
      <c r="G6" s="31">
        <f>(D6-D5)/D5</f>
        <v/>
      </c>
    </row>
    <row r="7">
      <c r="B7" s="10" t="inlineStr">
        <is>
          <t>2026-03</t>
        </is>
      </c>
      <c r="C7" s="10" t="n">
        <v>22</v>
      </c>
      <c r="D7" s="25" t="n">
        <v>580000</v>
      </c>
      <c r="E7" s="10" t="n">
        <v>32</v>
      </c>
      <c r="F7" s="10" t="n">
        <v>3</v>
      </c>
      <c r="G7" s="32">
        <f>(D7-D6)/D6</f>
        <v/>
      </c>
    </row>
    <row r="8">
      <c r="B8" s="14" t="inlineStr">
        <is>
          <t>2026-04</t>
        </is>
      </c>
      <c r="C8" s="14" t="n">
        <v>28</v>
      </c>
      <c r="D8" s="26" t="n">
        <v>720000</v>
      </c>
      <c r="E8" s="14" t="n">
        <v>38</v>
      </c>
      <c r="F8" s="14" t="n">
        <v>4</v>
      </c>
      <c r="G8" s="31">
        <f>(D8-D7)/D7</f>
        <v/>
      </c>
    </row>
    <row r="9">
      <c r="B9" s="10" t="inlineStr">
        <is>
          <t>2026-05</t>
        </is>
      </c>
      <c r="C9" s="10" t="n">
        <v>35</v>
      </c>
      <c r="D9" s="25" t="n">
        <v>1860000</v>
      </c>
      <c r="E9" s="10" t="n">
        <v>45</v>
      </c>
      <c r="F9" s="10" t="n">
        <v>5</v>
      </c>
      <c r="G9" s="32">
        <f>(D9-D8)/D8</f>
        <v/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2026-06-24T12:17:21Z</dcterms:created>
  <dcterms:modified xmlns:dcterms="http://purl.org/dc/terms/" xmlns:xsi="http://www.w3.org/2001/XMLSchema-instance" xsi:type="dcterms:W3CDTF">2026-06-24T12:17:21Z</dcterms:modified>
</cp:coreProperties>
</file>